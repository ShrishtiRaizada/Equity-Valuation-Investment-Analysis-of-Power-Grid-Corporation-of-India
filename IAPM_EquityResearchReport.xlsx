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ISHTIRAIZADA\Downloads\"/>
    </mc:Choice>
  </mc:AlternateContent>
  <xr:revisionPtr revIDLastSave="0" documentId="13_ncr:1_{0A094A69-44BD-4595-BC67-5009C4CB7364}" xr6:coauthVersionLast="47" xr6:coauthVersionMax="47" xr10:uidLastSave="{00000000-0000-0000-0000-000000000000}"/>
  <bookViews>
    <workbookView xWindow="-110" yWindow="-110" windowWidth="19420" windowHeight="11500" firstSheet="16" activeTab="18" xr2:uid="{B93C0F20-3B90-4EEB-AA2E-99317CF4AFC8}"/>
  </bookViews>
  <sheets>
    <sheet name="Cover_Page" sheetId="16" r:id="rId1"/>
    <sheet name="Industry_Analysis" sheetId="15" r:id="rId2"/>
    <sheet name="Macro" sheetId="18" r:id="rId3"/>
    <sheet name="GDP_Regression" sheetId="19" r:id="rId4"/>
    <sheet name="Inflation_Regression" sheetId="20" r:id="rId5"/>
    <sheet name="DCF" sheetId="10" r:id="rId6"/>
    <sheet name="FCFF_Projections" sheetId="5" r:id="rId7"/>
    <sheet name="WACC" sheetId="8" r:id="rId8"/>
    <sheet name="NWC" sheetId="7" r:id="rId9"/>
    <sheet name="Fixed_Assets" sheetId="6" r:id="rId10"/>
    <sheet name="Peer_Group_FA(5 years)" sheetId="12" r:id="rId11"/>
    <sheet name="Relative_Valuation" sheetId="11" r:id="rId12"/>
    <sheet name="Technical_Analysis(with Charts)" sheetId="17" r:id="rId13"/>
    <sheet name="Statement_Analysis" sheetId="13" r:id="rId14"/>
    <sheet name="Technical_Analysis" sheetId="14" state="hidden" r:id="rId15"/>
    <sheet name="Balance_Sheet(5 years)" sheetId="3" r:id="rId16"/>
    <sheet name="Income_Statement(5 years)" sheetId="4" r:id="rId17"/>
    <sheet name="Balance_Sheet" sheetId="1" r:id="rId18"/>
    <sheet name="Income_Statement" sheetId="2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4" i="18" l="1"/>
  <c r="R14" i="18"/>
  <c r="S14" i="18"/>
  <c r="P14" i="18"/>
  <c r="P12" i="18"/>
  <c r="Q12" i="18"/>
  <c r="R12" i="18"/>
  <c r="S12" i="18"/>
  <c r="O12" i="18"/>
  <c r="Q11" i="18"/>
  <c r="R11" i="18"/>
  <c r="S11" i="18" s="1"/>
  <c r="P11" i="18"/>
  <c r="O11" i="18"/>
  <c r="P8" i="18"/>
  <c r="Q8" i="18"/>
  <c r="R8" i="18"/>
  <c r="S8" i="18"/>
  <c r="O8" i="18"/>
  <c r="P7" i="18"/>
  <c r="Q7" i="18"/>
  <c r="R7" i="18"/>
  <c r="S7" i="18"/>
  <c r="O7" i="18"/>
  <c r="E19" i="18"/>
  <c r="I5" i="18"/>
  <c r="I6" i="18"/>
  <c r="I7" i="18"/>
  <c r="I8" i="18"/>
  <c r="I9" i="18"/>
  <c r="I10" i="18"/>
  <c r="I11" i="18"/>
  <c r="I12" i="18"/>
  <c r="I13" i="18"/>
  <c r="I14" i="18"/>
  <c r="I4" i="18"/>
  <c r="I3" i="18"/>
  <c r="I2" i="18"/>
  <c r="E3" i="18"/>
  <c r="L2" i="18" l="1"/>
  <c r="G3" i="18"/>
  <c r="G4" i="18"/>
  <c r="G5" i="18"/>
  <c r="G6" i="18"/>
  <c r="G7" i="18"/>
  <c r="G8" i="18"/>
  <c r="G9" i="18"/>
  <c r="G10" i="18"/>
  <c r="G11" i="18"/>
  <c r="G12" i="18"/>
  <c r="G13" i="18"/>
  <c r="G14" i="18"/>
  <c r="G2" i="18"/>
  <c r="C4" i="18"/>
  <c r="C5" i="18"/>
  <c r="C6" i="18"/>
  <c r="C7" i="18"/>
  <c r="C8" i="18"/>
  <c r="C9" i="18"/>
  <c r="C10" i="18"/>
  <c r="C11" i="18"/>
  <c r="C12" i="18"/>
  <c r="C13" i="18"/>
  <c r="C14" i="18"/>
  <c r="C3" i="18"/>
  <c r="L14" i="18"/>
  <c r="K14" i="18"/>
  <c r="L13" i="18"/>
  <c r="K13" i="18"/>
  <c r="L12" i="18"/>
  <c r="K12" i="18"/>
  <c r="L11" i="18"/>
  <c r="K11" i="18"/>
  <c r="L10" i="18"/>
  <c r="K10" i="18"/>
  <c r="L9" i="18"/>
  <c r="K9" i="18"/>
  <c r="L8" i="18"/>
  <c r="K8" i="18"/>
  <c r="L7" i="18"/>
  <c r="K7" i="18"/>
  <c r="L6" i="18"/>
  <c r="K6" i="18"/>
  <c r="L5" i="18"/>
  <c r="K5" i="18"/>
  <c r="L4" i="18"/>
  <c r="K4" i="18"/>
  <c r="L3" i="18"/>
  <c r="K3" i="18"/>
  <c r="K2" i="18"/>
  <c r="E14" i="18"/>
  <c r="E13" i="18"/>
  <c r="E12" i="18"/>
  <c r="E11" i="18"/>
  <c r="E10" i="18"/>
  <c r="E9" i="18"/>
  <c r="E8" i="18"/>
  <c r="E7" i="18"/>
  <c r="E6" i="18"/>
  <c r="E5" i="18"/>
  <c r="E4" i="18"/>
  <c r="L9" i="13" l="1"/>
  <c r="L8" i="13"/>
  <c r="L7" i="13"/>
  <c r="L6" i="13"/>
  <c r="L5" i="13"/>
  <c r="L4" i="13"/>
  <c r="H6" i="13"/>
  <c r="H5" i="13"/>
  <c r="H4" i="13"/>
  <c r="E6" i="13"/>
  <c r="B7" i="13"/>
  <c r="E5" i="13"/>
  <c r="E4" i="13"/>
  <c r="B6" i="13"/>
  <c r="B5" i="13"/>
  <c r="B4" i="13"/>
  <c r="C18" i="11"/>
  <c r="E18" i="11" s="1"/>
  <c r="C17" i="11"/>
  <c r="E17" i="11" s="1"/>
  <c r="C16" i="11"/>
  <c r="E16" i="11" s="1"/>
  <c r="C15" i="11"/>
  <c r="E15" i="11" s="1"/>
  <c r="C14" i="11"/>
  <c r="E14" i="11" s="1"/>
  <c r="F10" i="11"/>
  <c r="F9" i="11"/>
  <c r="F8" i="11"/>
  <c r="E10" i="11"/>
  <c r="E9" i="11"/>
  <c r="E8" i="11"/>
  <c r="D10" i="11"/>
  <c r="D9" i="11"/>
  <c r="D8" i="11"/>
  <c r="C10" i="11"/>
  <c r="C9" i="11"/>
  <c r="C8" i="11"/>
  <c r="F7" i="11"/>
  <c r="E7" i="11"/>
  <c r="D7" i="11"/>
  <c r="C7" i="11"/>
  <c r="F6" i="11"/>
  <c r="E6" i="11"/>
  <c r="D6" i="11"/>
  <c r="C6" i="11"/>
  <c r="AC24" i="12"/>
  <c r="AD24" i="12"/>
  <c r="AE24" i="12"/>
  <c r="AF24" i="12"/>
  <c r="AB24" i="12"/>
  <c r="AC23" i="12"/>
  <c r="AD23" i="12"/>
  <c r="AE23" i="12"/>
  <c r="AF23" i="12"/>
  <c r="AB23" i="12"/>
  <c r="AC22" i="12"/>
  <c r="AD22" i="12"/>
  <c r="AE22" i="12"/>
  <c r="AF22" i="12"/>
  <c r="AB22" i="12"/>
  <c r="AC21" i="12"/>
  <c r="AD21" i="12"/>
  <c r="AE21" i="12"/>
  <c r="AF21" i="12"/>
  <c r="AB21" i="12"/>
  <c r="AC20" i="12"/>
  <c r="AD20" i="12"/>
  <c r="AE20" i="12"/>
  <c r="AF20" i="12"/>
  <c r="AB20" i="12"/>
  <c r="AC19" i="12"/>
  <c r="AD19" i="12"/>
  <c r="AE19" i="12"/>
  <c r="AF19" i="12"/>
  <c r="AB19" i="12"/>
  <c r="AD9" i="12"/>
  <c r="AE9" i="12"/>
  <c r="AF9" i="12"/>
  <c r="AC9" i="12"/>
  <c r="AD8" i="12"/>
  <c r="AE8" i="12"/>
  <c r="AF8" i="12"/>
  <c r="AC8" i="12"/>
  <c r="AD7" i="12"/>
  <c r="AE7" i="12"/>
  <c r="AF7" i="12"/>
  <c r="AC7" i="12"/>
  <c r="AD6" i="12"/>
  <c r="AE6" i="12"/>
  <c r="AF6" i="12"/>
  <c r="AC6" i="12"/>
  <c r="AD5" i="12"/>
  <c r="AE5" i="12"/>
  <c r="AF5" i="12"/>
  <c r="AC5" i="12"/>
  <c r="AD4" i="12"/>
  <c r="AE4" i="12"/>
  <c r="AF4" i="12"/>
  <c r="AC4" i="12"/>
  <c r="U24" i="12"/>
  <c r="V24" i="12"/>
  <c r="W24" i="12"/>
  <c r="X24" i="12"/>
  <c r="T24" i="12"/>
  <c r="U23" i="12"/>
  <c r="V23" i="12"/>
  <c r="W23" i="12"/>
  <c r="X23" i="12"/>
  <c r="T23" i="12"/>
  <c r="U22" i="12"/>
  <c r="V22" i="12"/>
  <c r="W22" i="12"/>
  <c r="X22" i="12"/>
  <c r="T22" i="12"/>
  <c r="U21" i="12"/>
  <c r="V21" i="12"/>
  <c r="W21" i="12"/>
  <c r="X21" i="12"/>
  <c r="T21" i="12"/>
  <c r="U20" i="12"/>
  <c r="V20" i="12"/>
  <c r="W20" i="12"/>
  <c r="X20" i="12"/>
  <c r="T20" i="12"/>
  <c r="U19" i="12"/>
  <c r="V19" i="12"/>
  <c r="W19" i="12"/>
  <c r="X19" i="12"/>
  <c r="T19" i="12"/>
  <c r="M24" i="12"/>
  <c r="N24" i="12"/>
  <c r="O24" i="12"/>
  <c r="P24" i="12"/>
  <c r="L24" i="12"/>
  <c r="M23" i="12"/>
  <c r="N23" i="12"/>
  <c r="O23" i="12"/>
  <c r="P23" i="12"/>
  <c r="L23" i="12"/>
  <c r="M22" i="12"/>
  <c r="N22" i="12"/>
  <c r="O22" i="12"/>
  <c r="P22" i="12"/>
  <c r="L22" i="12"/>
  <c r="M21" i="12"/>
  <c r="N21" i="12"/>
  <c r="O21" i="12"/>
  <c r="P21" i="12"/>
  <c r="L21" i="12"/>
  <c r="M20" i="12"/>
  <c r="N20" i="12"/>
  <c r="O20" i="12"/>
  <c r="P20" i="12"/>
  <c r="L20" i="12"/>
  <c r="M19" i="12"/>
  <c r="N19" i="12"/>
  <c r="O19" i="12"/>
  <c r="P19" i="12"/>
  <c r="L19" i="12"/>
  <c r="D24" i="12"/>
  <c r="E24" i="12"/>
  <c r="F24" i="12"/>
  <c r="G24" i="12"/>
  <c r="C24" i="12"/>
  <c r="D23" i="12"/>
  <c r="E23" i="12"/>
  <c r="F23" i="12"/>
  <c r="G23" i="12"/>
  <c r="C23" i="12"/>
  <c r="D22" i="12"/>
  <c r="E22" i="12"/>
  <c r="F22" i="12"/>
  <c r="G22" i="12"/>
  <c r="C22" i="12"/>
  <c r="D21" i="12"/>
  <c r="E21" i="12"/>
  <c r="F21" i="12"/>
  <c r="G21" i="12"/>
  <c r="C21" i="12"/>
  <c r="D20" i="12"/>
  <c r="E20" i="12"/>
  <c r="F20" i="12"/>
  <c r="G20" i="12"/>
  <c r="C20" i="12"/>
  <c r="D19" i="12"/>
  <c r="E19" i="12"/>
  <c r="F19" i="12"/>
  <c r="G19" i="12"/>
  <c r="C19" i="12"/>
  <c r="B22" i="10"/>
  <c r="E20" i="11" l="1"/>
  <c r="B20" i="10"/>
  <c r="B18" i="10"/>
  <c r="B17" i="10"/>
  <c r="B16" i="10"/>
  <c r="B15" i="10"/>
  <c r="B14" i="10"/>
  <c r="B11" i="10"/>
  <c r="H8" i="10"/>
  <c r="I8" i="10"/>
  <c r="J8" i="10"/>
  <c r="K8" i="10"/>
  <c r="L8" i="10"/>
  <c r="M8" i="10"/>
  <c r="G8" i="10"/>
  <c r="B13" i="10"/>
  <c r="C5" i="10"/>
  <c r="D5" i="10"/>
  <c r="E5" i="10"/>
  <c r="F5" i="10"/>
  <c r="G5" i="10"/>
  <c r="H5" i="10"/>
  <c r="I5" i="10"/>
  <c r="J5" i="10"/>
  <c r="K5" i="10"/>
  <c r="L5" i="10"/>
  <c r="M5" i="10"/>
  <c r="B5" i="10"/>
  <c r="B17" i="8"/>
  <c r="B15" i="8"/>
  <c r="B14" i="8"/>
  <c r="B13" i="8"/>
  <c r="B12" i="8"/>
  <c r="B8" i="8"/>
  <c r="B7" i="8"/>
  <c r="B5" i="8"/>
  <c r="B3" i="8"/>
  <c r="B2" i="8"/>
  <c r="C21" i="5"/>
  <c r="D21" i="5"/>
  <c r="E21" i="5"/>
  <c r="F21" i="5"/>
  <c r="G21" i="5"/>
  <c r="H21" i="5"/>
  <c r="I21" i="5"/>
  <c r="J21" i="5"/>
  <c r="K21" i="5"/>
  <c r="L21" i="5"/>
  <c r="M21" i="5"/>
  <c r="B21" i="5"/>
  <c r="C16" i="5"/>
  <c r="D16" i="5"/>
  <c r="E16" i="5"/>
  <c r="F16" i="5"/>
  <c r="G16" i="5"/>
  <c r="H16" i="5"/>
  <c r="I16" i="5"/>
  <c r="J16" i="5"/>
  <c r="K16" i="5"/>
  <c r="L16" i="5"/>
  <c r="M16" i="5"/>
  <c r="B16" i="5"/>
  <c r="M17" i="5"/>
  <c r="C17" i="5"/>
  <c r="D17" i="5"/>
  <c r="E17" i="5"/>
  <c r="F17" i="5"/>
  <c r="G17" i="5"/>
  <c r="H17" i="5"/>
  <c r="I17" i="5"/>
  <c r="J17" i="5"/>
  <c r="K17" i="5"/>
  <c r="L17" i="5"/>
  <c r="B17" i="5"/>
  <c r="M19" i="5"/>
  <c r="C19" i="5"/>
  <c r="D19" i="5"/>
  <c r="E19" i="5"/>
  <c r="F19" i="5"/>
  <c r="G19" i="5"/>
  <c r="H19" i="5"/>
  <c r="I19" i="5"/>
  <c r="J19" i="5"/>
  <c r="K19" i="5"/>
  <c r="L19" i="5"/>
  <c r="C10" i="7"/>
  <c r="D10" i="7"/>
  <c r="E10" i="7"/>
  <c r="F10" i="7"/>
  <c r="G10" i="7"/>
  <c r="H10" i="7"/>
  <c r="I10" i="7"/>
  <c r="J10" i="7"/>
  <c r="K10" i="7"/>
  <c r="L10" i="7"/>
  <c r="M10" i="7"/>
  <c r="B10" i="7"/>
  <c r="B19" i="5" s="1"/>
  <c r="C18" i="5"/>
  <c r="D18" i="5"/>
  <c r="E18" i="5"/>
  <c r="F18" i="5"/>
  <c r="G18" i="5"/>
  <c r="H18" i="5"/>
  <c r="I18" i="5"/>
  <c r="J18" i="5"/>
  <c r="K18" i="5"/>
  <c r="L18" i="5"/>
  <c r="M18" i="5"/>
  <c r="B18" i="5"/>
  <c r="M9" i="7"/>
  <c r="J9" i="7"/>
  <c r="K9" i="7"/>
  <c r="L9" i="7"/>
  <c r="I9" i="7"/>
  <c r="C9" i="7"/>
  <c r="C22" i="7" s="1"/>
  <c r="D9" i="7"/>
  <c r="D22" i="7" s="1"/>
  <c r="E9" i="7"/>
  <c r="E22" i="7" s="1"/>
  <c r="F9" i="7"/>
  <c r="F22" i="7" s="1"/>
  <c r="B9" i="7"/>
  <c r="B22" i="7" s="1"/>
  <c r="G22" i="7" s="1"/>
  <c r="G9" i="7" s="1"/>
  <c r="E8" i="7"/>
  <c r="E19" i="7" s="1"/>
  <c r="F8" i="7"/>
  <c r="F19" i="7" s="1"/>
  <c r="C8" i="7"/>
  <c r="D8" i="7"/>
  <c r="B8" i="7"/>
  <c r="C18" i="7"/>
  <c r="E17" i="7"/>
  <c r="F17" i="7"/>
  <c r="C15" i="7"/>
  <c r="C19" i="7" s="1"/>
  <c r="D15" i="7"/>
  <c r="D19" i="7" s="1"/>
  <c r="E15" i="7"/>
  <c r="F15" i="7"/>
  <c r="G15" i="7"/>
  <c r="H15" i="7"/>
  <c r="I15" i="7"/>
  <c r="J15" i="7"/>
  <c r="K15" i="7"/>
  <c r="L15" i="7"/>
  <c r="M15" i="7"/>
  <c r="B15" i="7"/>
  <c r="B19" i="7" s="1"/>
  <c r="C14" i="7"/>
  <c r="C17" i="7" s="1"/>
  <c r="D14" i="7"/>
  <c r="D17" i="7" s="1"/>
  <c r="E14" i="7"/>
  <c r="F14" i="7"/>
  <c r="G14" i="7"/>
  <c r="H14" i="7"/>
  <c r="I14" i="7"/>
  <c r="J14" i="7"/>
  <c r="K14" i="7"/>
  <c r="L14" i="7"/>
  <c r="M14" i="7"/>
  <c r="B14" i="7"/>
  <c r="B17" i="7" s="1"/>
  <c r="C6" i="7"/>
  <c r="D6" i="7"/>
  <c r="E5" i="7"/>
  <c r="E21" i="7" s="1"/>
  <c r="F5" i="7"/>
  <c r="F21" i="7" s="1"/>
  <c r="C5" i="7"/>
  <c r="C21" i="7" s="1"/>
  <c r="D5" i="7"/>
  <c r="D21" i="7" s="1"/>
  <c r="B5" i="7"/>
  <c r="B21" i="7" s="1"/>
  <c r="G21" i="7" s="1"/>
  <c r="G5" i="7" s="1"/>
  <c r="C4" i="7"/>
  <c r="D4" i="7"/>
  <c r="D18" i="7" s="1"/>
  <c r="E4" i="7"/>
  <c r="E18" i="7" s="1"/>
  <c r="F4" i="7"/>
  <c r="F18" i="7" s="1"/>
  <c r="B4" i="7"/>
  <c r="C3" i="7"/>
  <c r="D3" i="7"/>
  <c r="E3" i="7"/>
  <c r="E6" i="7" s="1"/>
  <c r="F3" i="7"/>
  <c r="B3" i="7"/>
  <c r="B6" i="7" s="1"/>
  <c r="M15" i="5"/>
  <c r="J15" i="5"/>
  <c r="K15" i="5"/>
  <c r="L15" i="5"/>
  <c r="C15" i="5"/>
  <c r="D15" i="5"/>
  <c r="E15" i="5"/>
  <c r="F15" i="5"/>
  <c r="G15" i="5"/>
  <c r="H15" i="5"/>
  <c r="I15" i="5"/>
  <c r="B15" i="5"/>
  <c r="C14" i="5"/>
  <c r="D14" i="5"/>
  <c r="E14" i="5"/>
  <c r="F14" i="5"/>
  <c r="G14" i="5"/>
  <c r="H14" i="5"/>
  <c r="I14" i="5"/>
  <c r="J14" i="5"/>
  <c r="K14" i="5"/>
  <c r="L14" i="5"/>
  <c r="M14" i="5"/>
  <c r="B14" i="5"/>
  <c r="C13" i="5"/>
  <c r="D13" i="5"/>
  <c r="E13" i="5"/>
  <c r="F13" i="5"/>
  <c r="G13" i="5"/>
  <c r="H13" i="5"/>
  <c r="I13" i="5"/>
  <c r="J13" i="5"/>
  <c r="K13" i="5"/>
  <c r="L13" i="5"/>
  <c r="M13" i="5"/>
  <c r="B13" i="5"/>
  <c r="H12" i="5"/>
  <c r="I12" i="5"/>
  <c r="J12" i="5"/>
  <c r="K12" i="5"/>
  <c r="L12" i="5"/>
  <c r="M12" i="5"/>
  <c r="G12" i="5"/>
  <c r="H29" i="5"/>
  <c r="I29" i="5" s="1"/>
  <c r="G29" i="5"/>
  <c r="C29" i="5"/>
  <c r="D29" i="5"/>
  <c r="E29" i="5"/>
  <c r="F29" i="5"/>
  <c r="B29" i="5"/>
  <c r="C12" i="5"/>
  <c r="D12" i="5"/>
  <c r="E12" i="5"/>
  <c r="F12" i="5"/>
  <c r="B12" i="5"/>
  <c r="C11" i="5"/>
  <c r="D11" i="5"/>
  <c r="E11" i="5"/>
  <c r="F11" i="5"/>
  <c r="G11" i="5"/>
  <c r="H11" i="5"/>
  <c r="I11" i="5"/>
  <c r="J11" i="5"/>
  <c r="K11" i="5"/>
  <c r="L11" i="5"/>
  <c r="M11" i="5"/>
  <c r="B11" i="5"/>
  <c r="H10" i="5"/>
  <c r="I10" i="5"/>
  <c r="J10" i="5"/>
  <c r="K10" i="5"/>
  <c r="L10" i="5"/>
  <c r="M10" i="5"/>
  <c r="G10" i="5"/>
  <c r="M3" i="6"/>
  <c r="M4" i="6"/>
  <c r="M5" i="6"/>
  <c r="M6" i="6"/>
  <c r="H6" i="6"/>
  <c r="I6" i="6"/>
  <c r="J6" i="6"/>
  <c r="K6" i="6"/>
  <c r="L6" i="6"/>
  <c r="H5" i="6"/>
  <c r="H4" i="6"/>
  <c r="H3" i="6"/>
  <c r="I3" i="6"/>
  <c r="I5" i="6" s="1"/>
  <c r="G6" i="6"/>
  <c r="G5" i="6"/>
  <c r="G4" i="6"/>
  <c r="G3" i="6"/>
  <c r="F6" i="6"/>
  <c r="F5" i="6"/>
  <c r="G11" i="6"/>
  <c r="H11" i="6"/>
  <c r="I11" i="6" s="1"/>
  <c r="F11" i="6"/>
  <c r="C11" i="6"/>
  <c r="D11" i="6"/>
  <c r="E11" i="6"/>
  <c r="B11" i="6"/>
  <c r="J10" i="6"/>
  <c r="K10" i="6" s="1"/>
  <c r="I10" i="6"/>
  <c r="H10" i="6"/>
  <c r="G10" i="6"/>
  <c r="C10" i="6"/>
  <c r="D10" i="6"/>
  <c r="E10" i="6"/>
  <c r="F10" i="6"/>
  <c r="B10" i="6"/>
  <c r="E5" i="6"/>
  <c r="C5" i="6"/>
  <c r="D5" i="6"/>
  <c r="B5" i="6"/>
  <c r="C4" i="6"/>
  <c r="D4" i="6"/>
  <c r="E4" i="6"/>
  <c r="F4" i="6"/>
  <c r="B4" i="6"/>
  <c r="C6" i="6"/>
  <c r="D6" i="6"/>
  <c r="E6" i="6"/>
  <c r="B6" i="6"/>
  <c r="C3" i="6"/>
  <c r="D3" i="6"/>
  <c r="E3" i="6"/>
  <c r="F3" i="6"/>
  <c r="B3" i="6"/>
  <c r="C10" i="5"/>
  <c r="D10" i="5"/>
  <c r="E10" i="5"/>
  <c r="F10" i="5"/>
  <c r="B10" i="5"/>
  <c r="C9" i="5"/>
  <c r="D9" i="5"/>
  <c r="E9" i="5"/>
  <c r="F9" i="5"/>
  <c r="G9" i="5"/>
  <c r="H9" i="5"/>
  <c r="I9" i="5"/>
  <c r="J9" i="5"/>
  <c r="K9" i="5"/>
  <c r="L9" i="5"/>
  <c r="M9" i="5"/>
  <c r="B9" i="5"/>
  <c r="M7" i="5"/>
  <c r="M8" i="5"/>
  <c r="C8" i="5"/>
  <c r="D8" i="5"/>
  <c r="E8" i="5"/>
  <c r="F8" i="5"/>
  <c r="G8" i="5"/>
  <c r="H8" i="5"/>
  <c r="I8" i="5"/>
  <c r="J8" i="5"/>
  <c r="K8" i="5"/>
  <c r="L8" i="5"/>
  <c r="B8" i="5"/>
  <c r="I7" i="5"/>
  <c r="H7" i="5"/>
  <c r="J7" i="5"/>
  <c r="K7" i="5"/>
  <c r="L7" i="5"/>
  <c r="G7" i="5"/>
  <c r="H28" i="5"/>
  <c r="J28" i="5" s="1"/>
  <c r="I28" i="5"/>
  <c r="G28" i="5"/>
  <c r="C28" i="5"/>
  <c r="D28" i="5"/>
  <c r="E28" i="5"/>
  <c r="F28" i="5"/>
  <c r="B28" i="5"/>
  <c r="C7" i="5"/>
  <c r="D7" i="5"/>
  <c r="E7" i="5"/>
  <c r="F7" i="5"/>
  <c r="B7" i="5"/>
  <c r="C5" i="5"/>
  <c r="D5" i="5"/>
  <c r="E5" i="5"/>
  <c r="F5" i="5"/>
  <c r="G5" i="5"/>
  <c r="H5" i="5"/>
  <c r="I5" i="5"/>
  <c r="J5" i="5"/>
  <c r="K5" i="5"/>
  <c r="L5" i="5"/>
  <c r="M5" i="5"/>
  <c r="B5" i="5"/>
  <c r="H4" i="5"/>
  <c r="I4" i="5"/>
  <c r="J4" i="5"/>
  <c r="K4" i="5"/>
  <c r="L4" i="5"/>
  <c r="M4" i="5"/>
  <c r="G4" i="5"/>
  <c r="H27" i="5"/>
  <c r="G27" i="5"/>
  <c r="C27" i="5"/>
  <c r="D27" i="5"/>
  <c r="E27" i="5"/>
  <c r="F27" i="5"/>
  <c r="B27" i="5"/>
  <c r="C4" i="5"/>
  <c r="D4" i="5"/>
  <c r="E4" i="5"/>
  <c r="F4" i="5"/>
  <c r="B4" i="5"/>
  <c r="M3" i="5"/>
  <c r="H3" i="5"/>
  <c r="I3" i="5" s="1"/>
  <c r="J3" i="5" s="1"/>
  <c r="K3" i="5" s="1"/>
  <c r="L3" i="5" s="1"/>
  <c r="G3" i="5"/>
  <c r="M25" i="5"/>
  <c r="H25" i="5"/>
  <c r="I25" i="5"/>
  <c r="G25" i="5"/>
  <c r="E25" i="5"/>
  <c r="D25" i="5"/>
  <c r="F25" i="5"/>
  <c r="C25" i="5"/>
  <c r="C3" i="5"/>
  <c r="D3" i="5"/>
  <c r="E3" i="5"/>
  <c r="F3" i="5"/>
  <c r="B3" i="5"/>
  <c r="A24" i="5"/>
  <c r="H21" i="7" l="1"/>
  <c r="H18" i="7"/>
  <c r="H22" i="7"/>
  <c r="G17" i="7"/>
  <c r="G3" i="7" s="1"/>
  <c r="G19" i="7"/>
  <c r="G8" i="7" s="1"/>
  <c r="F6" i="7"/>
  <c r="B18" i="7"/>
  <c r="G18" i="7" s="1"/>
  <c r="G4" i="7" s="1"/>
  <c r="L29" i="5"/>
  <c r="K29" i="5"/>
  <c r="M29" i="5" s="1"/>
  <c r="J29" i="5"/>
  <c r="I4" i="6"/>
  <c r="J3" i="6" s="1"/>
  <c r="J5" i="6" s="1"/>
  <c r="J11" i="6"/>
  <c r="K11" i="6" s="1"/>
  <c r="L10" i="6"/>
  <c r="M10" i="6" s="1"/>
  <c r="K28" i="5"/>
  <c r="L28" i="5"/>
  <c r="M28" i="5" s="1"/>
  <c r="J27" i="5"/>
  <c r="I27" i="5"/>
  <c r="J25" i="5"/>
  <c r="I22" i="7" l="1"/>
  <c r="H9" i="7"/>
  <c r="J22" i="7"/>
  <c r="H4" i="7"/>
  <c r="H5" i="7"/>
  <c r="I21" i="7"/>
  <c r="G6" i="7"/>
  <c r="K18" i="7"/>
  <c r="K4" i="7" s="1"/>
  <c r="I18" i="7"/>
  <c r="H19" i="7"/>
  <c r="H17" i="7"/>
  <c r="J18" i="7"/>
  <c r="J4" i="7" s="1"/>
  <c r="K22" i="7"/>
  <c r="J4" i="6"/>
  <c r="K3" i="6" s="1"/>
  <c r="K5" i="6" s="1"/>
  <c r="L11" i="6"/>
  <c r="M11" i="6" s="1"/>
  <c r="L27" i="5"/>
  <c r="M27" i="5"/>
  <c r="K27" i="5"/>
  <c r="K25" i="5"/>
  <c r="L25" i="5" s="1"/>
  <c r="I5" i="7" l="1"/>
  <c r="J21" i="7"/>
  <c r="J5" i="7" s="1"/>
  <c r="H3" i="7"/>
  <c r="H6" i="7" s="1"/>
  <c r="I17" i="7"/>
  <c r="L18" i="7"/>
  <c r="L4" i="7" s="1"/>
  <c r="I19" i="7"/>
  <c r="H8" i="7"/>
  <c r="I4" i="7"/>
  <c r="L22" i="7"/>
  <c r="M22" i="7" s="1"/>
  <c r="K4" i="6"/>
  <c r="L3" i="6"/>
  <c r="L5" i="6" s="1"/>
  <c r="I8" i="7" l="1"/>
  <c r="I3" i="7"/>
  <c r="I6" i="7" s="1"/>
  <c r="J17" i="7"/>
  <c r="M18" i="7"/>
  <c r="M4" i="7" s="1"/>
  <c r="J19" i="7"/>
  <c r="J8" i="7" s="1"/>
  <c r="K21" i="7"/>
  <c r="L4" i="6"/>
  <c r="K5" i="7" l="1"/>
  <c r="L21" i="7"/>
  <c r="L5" i="7" s="1"/>
  <c r="J3" i="7"/>
  <c r="J6" i="7" s="1"/>
  <c r="K17" i="7"/>
  <c r="K19" i="7"/>
  <c r="L19" i="7" l="1"/>
  <c r="L8" i="7" s="1"/>
  <c r="K8" i="7"/>
  <c r="M19" i="7"/>
  <c r="M8" i="7" s="1"/>
  <c r="K3" i="7"/>
  <c r="K6" i="7" s="1"/>
  <c r="L17" i="7"/>
  <c r="L3" i="7" s="1"/>
  <c r="L6" i="7" s="1"/>
  <c r="M21" i="7"/>
  <c r="M5" i="7" s="1"/>
  <c r="M17" i="7" l="1"/>
  <c r="M3" i="7" s="1"/>
  <c r="M6" i="7" s="1"/>
</calcChain>
</file>

<file path=xl/sharedStrings.xml><?xml version="1.0" encoding="utf-8"?>
<sst xmlns="http://schemas.openxmlformats.org/spreadsheetml/2006/main" count="1409" uniqueCount="391">
  <si>
    <t>Power Grid Corporation Of India Ltd. - Balance Sheet - Standalone-Abridged-Actual - [INR-Crores]</t>
  </si>
  <si>
    <t>Particulars</t>
  </si>
  <si>
    <t>Mar-2025</t>
  </si>
  <si>
    <t>Mar-2024</t>
  </si>
  <si>
    <t>Mar-2023</t>
  </si>
  <si>
    <t>Mar-2022</t>
  </si>
  <si>
    <t>Mar-2021</t>
  </si>
  <si>
    <t>Mar-2020</t>
  </si>
  <si>
    <t>Mar-2019</t>
  </si>
  <si>
    <t>Mar-2018</t>
  </si>
  <si>
    <t>Mar-2017</t>
  </si>
  <si>
    <t>Mar-2016</t>
  </si>
  <si>
    <t>Mar-2015</t>
  </si>
  <si>
    <t>Mar-2014</t>
  </si>
  <si>
    <t>Mar-2013</t>
  </si>
  <si>
    <t>Mar-2012</t>
  </si>
  <si>
    <t>Mar-2011</t>
  </si>
  <si>
    <t>Mar-2010</t>
  </si>
  <si>
    <t>Mar-2009</t>
  </si>
  <si>
    <t>Mar-2008</t>
  </si>
  <si>
    <t>Mar-2007</t>
  </si>
  <si>
    <t>Mar-2006</t>
  </si>
  <si>
    <t>Mar-2005</t>
  </si>
  <si>
    <t>Mar-2004</t>
  </si>
  <si>
    <t>Mar-2003</t>
  </si>
  <si>
    <t>Mar-2002</t>
  </si>
  <si>
    <t>       </t>
  </si>
  <si>
    <t>EQUITY AND LIABILITIES</t>
  </si>
  <si>
    <t>Share Capital</t>
  </si>
  <si>
    <t>Share Warrants &amp; Outstandings</t>
  </si>
  <si>
    <t>Total Reserves</t>
  </si>
  <si>
    <t>Shareholder's Funds</t>
  </si>
  <si>
    <t>Long-Term Borrowings</t>
  </si>
  <si>
    <t>Secured Loans</t>
  </si>
  <si>
    <t>Unsecured Loans</t>
  </si>
  <si>
    <t>Deferred Tax Assets / Liabilities</t>
  </si>
  <si>
    <t>Other Long Term Liabilities</t>
  </si>
  <si>
    <t>Long Term Trade Payables</t>
  </si>
  <si>
    <t>Long Term Provisions</t>
  </si>
  <si>
    <t>Total Non-Current Liabilities</t>
  </si>
  <si>
    <t>Current Liabilities</t>
  </si>
  <si>
    <t>Trade Payables</t>
  </si>
  <si>
    <t>Other Current Liabilities</t>
  </si>
  <si>
    <t>Short Term Borrowings</t>
  </si>
  <si>
    <t>Short Term Provisions</t>
  </si>
  <si>
    <t>Total Current Liabilities</t>
  </si>
  <si>
    <t>Liabilities as Held for Sale and Discontinued Operations</t>
  </si>
  <si>
    <t>Total Liabilities</t>
  </si>
  <si>
    <t>ASSETS</t>
  </si>
  <si>
    <t>Non-Current Assets</t>
  </si>
  <si>
    <t>Gross Block</t>
  </si>
  <si>
    <t>Less: Accumulated Depreciation</t>
  </si>
  <si>
    <t>Less: Impairment of Assets</t>
  </si>
  <si>
    <t>Net Block</t>
  </si>
  <si>
    <t>Lease Adjustment A/c</t>
  </si>
  <si>
    <t>Capital Work in Progress</t>
  </si>
  <si>
    <t>Intangible assets under development</t>
  </si>
  <si>
    <t>Pre-operative Expenses pending</t>
  </si>
  <si>
    <t>Assets in transit</t>
  </si>
  <si>
    <t>Non Current Investments</t>
  </si>
  <si>
    <t>Long Term Loans &amp; Advances</t>
  </si>
  <si>
    <t>Other Non Current Assets</t>
  </si>
  <si>
    <t>Total Non-Current Assets</t>
  </si>
  <si>
    <t>Current Assets  Loans &amp; Advances</t>
  </si>
  <si>
    <t>Currents Investments</t>
  </si>
  <si>
    <t>Inventories</t>
  </si>
  <si>
    <t>Sundry Debtors</t>
  </si>
  <si>
    <t>Cash and Bank</t>
  </si>
  <si>
    <t>Other Current Assets</t>
  </si>
  <si>
    <t>Short Term Loans and Advances</t>
  </si>
  <si>
    <t>Amt Due from firm (directors interested)</t>
  </si>
  <si>
    <t>Total Current Assets</t>
  </si>
  <si>
    <t>Assets as Held for Sale and Discontinued Operations</t>
  </si>
  <si>
    <t>Net Current Assets (Including Current Investments)</t>
  </si>
  <si>
    <t>Total Current Assets Excluding Current Investments</t>
  </si>
  <si>
    <t>Miscellaneous Expenses not written off</t>
  </si>
  <si>
    <t>Total Assets</t>
  </si>
  <si>
    <t>Contingent Liabilities</t>
  </si>
  <si>
    <t>Total Debt (Long Term Plus Short Term)</t>
  </si>
  <si>
    <t>Book Value</t>
  </si>
  <si>
    <t>Adjusted Book Value</t>
  </si>
  <si>
    <t>Power Grid Corporation Of India Ltd. - Profit And Loss - Standalone-Abridged-Actual-Reported - [INR-Crores]</t>
  </si>
  <si>
    <t>No of Months</t>
  </si>
  <si>
    <t>INCOME :</t>
  </si>
  <si>
    <t>Operating Income</t>
  </si>
  <si>
    <t>Less: Excise / GST</t>
  </si>
  <si>
    <t>Net Sales</t>
  </si>
  <si>
    <t>EXPENDITURE :</t>
  </si>
  <si>
    <t>Increase/Decrease in Stock</t>
  </si>
  <si>
    <t>Power Generation &amp; Distribution Cost</t>
  </si>
  <si>
    <t>Employee Cost</t>
  </si>
  <si>
    <t>Operating Expenses</t>
  </si>
  <si>
    <t>General and Administration Expenses</t>
  </si>
  <si>
    <t>Selling and Distribution Expenses</t>
  </si>
  <si>
    <t>Miscellaneous Expenses</t>
  </si>
  <si>
    <t>Less: Expenses Capitalised</t>
  </si>
  <si>
    <t>Total Expenditure</t>
  </si>
  <si>
    <t>Operating Profit (Excl OI)</t>
  </si>
  <si>
    <t>Other Income</t>
  </si>
  <si>
    <t>Operating Profit</t>
  </si>
  <si>
    <t>Interest</t>
  </si>
  <si>
    <t>PBDT</t>
  </si>
  <si>
    <t>Depreciation</t>
  </si>
  <si>
    <t>Profit Before Taxation &amp; Exceptional Items</t>
  </si>
  <si>
    <t>Share of Profit/Loss of JV &amp; Associates</t>
  </si>
  <si>
    <t>Exceptional Income / Expenses</t>
  </si>
  <si>
    <t>Profit Before Tax</t>
  </si>
  <si>
    <t>Provision for Tax</t>
  </si>
  <si>
    <t>Profit After Tax</t>
  </si>
  <si>
    <t>Discontinued Operations</t>
  </si>
  <si>
    <t>Profit Before Tax from Discontinued Operations</t>
  </si>
  <si>
    <t>Tax from Discontinued Operations</t>
  </si>
  <si>
    <t>Profit After Tax from Discontinued Operations</t>
  </si>
  <si>
    <t>Extra items</t>
  </si>
  <si>
    <t>Adjustments to PAT</t>
  </si>
  <si>
    <t>Profit Balance B/F</t>
  </si>
  <si>
    <t>Appropriations</t>
  </si>
  <si>
    <t>Equity Dividend %</t>
  </si>
  <si>
    <t>Earnings Per Share(Calculated)</t>
  </si>
  <si>
    <t>Adjusted EPS</t>
  </si>
  <si>
    <t>EPS - Basic (Reported)</t>
  </si>
  <si>
    <t>EPS - Diluted (Reported)</t>
  </si>
  <si>
    <t>Projections</t>
  </si>
  <si>
    <t>Revenue</t>
  </si>
  <si>
    <t>COGS</t>
  </si>
  <si>
    <t>Gross Profit</t>
  </si>
  <si>
    <t>Selling, General, Administrative</t>
  </si>
  <si>
    <t>Total Operating Expenses</t>
  </si>
  <si>
    <t>EBITDA</t>
  </si>
  <si>
    <t>Depreciation &amp; Amortization</t>
  </si>
  <si>
    <t>Operating Profit (EBIT)</t>
  </si>
  <si>
    <t>Operating Taxes</t>
  </si>
  <si>
    <t>NOPAT (Net Operating Profit After Taxes)</t>
  </si>
  <si>
    <t>(+) Depreciation &amp; Amortization</t>
  </si>
  <si>
    <t>(-) Capital Expenditures</t>
  </si>
  <si>
    <t>(-) Change in NWC</t>
  </si>
  <si>
    <t>NWC</t>
  </si>
  <si>
    <t>Current Assets</t>
  </si>
  <si>
    <t>Current Liabilitites</t>
  </si>
  <si>
    <t>Unlevered Free Cash Flow</t>
  </si>
  <si>
    <t>Assumptions</t>
  </si>
  <si>
    <t>Revenue Growth</t>
  </si>
  <si>
    <t>COGS % of Revenue</t>
  </si>
  <si>
    <t>SG&amp;A % of Revenue</t>
  </si>
  <si>
    <t>Tax % of EBIT</t>
  </si>
  <si>
    <t>Fixed Assets Schedule</t>
  </si>
  <si>
    <t>Fiscal Year</t>
  </si>
  <si>
    <t>Beginning PP&amp;E</t>
  </si>
  <si>
    <t>D&amp;A</t>
  </si>
  <si>
    <t>CapEx</t>
  </si>
  <si>
    <t>Ending PP&amp;E</t>
  </si>
  <si>
    <t>D&amp;A as a % of Beginning PP&amp;E</t>
  </si>
  <si>
    <t>CapEx as a % of Beginning PP&amp;E</t>
  </si>
  <si>
    <t>Net Working Capital</t>
  </si>
  <si>
    <t>Accounts Receivables</t>
  </si>
  <si>
    <t>Merchandise Inventory</t>
  </si>
  <si>
    <t>Accounts Payable</t>
  </si>
  <si>
    <t>Days Sales Outstanding (DSO)</t>
  </si>
  <si>
    <t>Days Inventory Outstanding (DIO)</t>
  </si>
  <si>
    <t>Days Payable Outstanding (DPO)</t>
  </si>
  <si>
    <t>Other Current Assets as a % of Revenue</t>
  </si>
  <si>
    <t>Other Current Liabilities as a % of Revenue</t>
  </si>
  <si>
    <t xml:space="preserve">                           Weighted Average Cost of Capital (WACC)</t>
  </si>
  <si>
    <t>Equity (mm)</t>
  </si>
  <si>
    <t>Debt (mm)</t>
  </si>
  <si>
    <t>Cost of Debt</t>
  </si>
  <si>
    <t>Tax Rate</t>
  </si>
  <si>
    <t>D/(D+E)</t>
  </si>
  <si>
    <t>After Tax Cost of Debt</t>
  </si>
  <si>
    <t>Risk Free Rate (10-Yr Treasury Yield)</t>
  </si>
  <si>
    <t>Expected Market Return</t>
  </si>
  <si>
    <t>Market Risk Premium</t>
  </si>
  <si>
    <t>Levered Beta</t>
  </si>
  <si>
    <t>E/(D+E)</t>
  </si>
  <si>
    <t>Cost of Equity</t>
  </si>
  <si>
    <t>WACC</t>
  </si>
  <si>
    <t>SENSEX</t>
  </si>
  <si>
    <t>NIFTY</t>
  </si>
  <si>
    <t>Beta Analysis</t>
  </si>
  <si>
    <t>Unlevered Free Cash Flow (Cr)</t>
  </si>
  <si>
    <t>Projection Year</t>
  </si>
  <si>
    <t>Present Value of Free Cash Flow</t>
  </si>
  <si>
    <t>Sum of PV of FCF</t>
  </si>
  <si>
    <t>Growth Rate</t>
  </si>
  <si>
    <t>Terminal Value</t>
  </si>
  <si>
    <t>PV of Terminal Value</t>
  </si>
  <si>
    <t>Enterprise Value</t>
  </si>
  <si>
    <t>(+) Cash</t>
  </si>
  <si>
    <t>(-) Debt</t>
  </si>
  <si>
    <t>(-) Minority Interest</t>
  </si>
  <si>
    <t>Equity Value</t>
  </si>
  <si>
    <t>Implied Share Price</t>
  </si>
  <si>
    <t xml:space="preserve">Diluted Shares Outstanding </t>
  </si>
  <si>
    <t>Shareholder's Equity</t>
  </si>
  <si>
    <t>Total Debt</t>
  </si>
  <si>
    <t>Cash &amp; Cash Equivalents</t>
  </si>
  <si>
    <t>Book value/share</t>
  </si>
  <si>
    <t>Valuation Metrics</t>
  </si>
  <si>
    <t>EV</t>
  </si>
  <si>
    <t>P/E</t>
  </si>
  <si>
    <t>P/V</t>
  </si>
  <si>
    <t>EV/EBITDA</t>
  </si>
  <si>
    <t>EV/EBIT</t>
  </si>
  <si>
    <t>EV/Sales</t>
  </si>
  <si>
    <t xml:space="preserve">Revenue </t>
  </si>
  <si>
    <t>EBIT</t>
  </si>
  <si>
    <t>Net Profit</t>
  </si>
  <si>
    <t>EPS</t>
  </si>
  <si>
    <t>Market Data</t>
  </si>
  <si>
    <t>Shares Outstanding</t>
  </si>
  <si>
    <t>Face Value</t>
  </si>
  <si>
    <t>Current Share Price</t>
  </si>
  <si>
    <t>Market Cap</t>
  </si>
  <si>
    <t>Adani Transmission</t>
  </si>
  <si>
    <t>TATA Power</t>
  </si>
  <si>
    <t>NHPC</t>
  </si>
  <si>
    <t>Power Grid</t>
  </si>
  <si>
    <t>Multiple</t>
  </si>
  <si>
    <t>Implied Share Prices (Power Grid Oil Corporation of India)</t>
  </si>
  <si>
    <t xml:space="preserve">Weights </t>
  </si>
  <si>
    <t>Fair Target Value</t>
  </si>
  <si>
    <t>Profitability Ratios</t>
  </si>
  <si>
    <t>EBIT Margin</t>
  </si>
  <si>
    <t>ROE</t>
  </si>
  <si>
    <t>ROA</t>
  </si>
  <si>
    <t>Liquidity Ratios</t>
  </si>
  <si>
    <t>Current Ratio</t>
  </si>
  <si>
    <t>Quick Ratio</t>
  </si>
  <si>
    <t>Cash Ratio</t>
  </si>
  <si>
    <t>Leverage Ratios</t>
  </si>
  <si>
    <t>Debt to Equity</t>
  </si>
  <si>
    <t>Interest Coverage</t>
  </si>
  <si>
    <t>Debt Ratio</t>
  </si>
  <si>
    <t>Avg Inventory</t>
  </si>
  <si>
    <t>Efficinecy Ratios</t>
  </si>
  <si>
    <t>Inventory Turnover</t>
  </si>
  <si>
    <t>Receivables Turnover</t>
  </si>
  <si>
    <t>Payables Turonver</t>
  </si>
  <si>
    <t>Asset Turonver</t>
  </si>
  <si>
    <t>Company</t>
  </si>
  <si>
    <t>52W High (₹)</t>
  </si>
  <si>
    <t>52W Low (₹)</t>
  </si>
  <si>
    <t>Beta</t>
  </si>
  <si>
    <t>Market Cap (₹ Cr)</t>
  </si>
  <si>
    <t>Price &amp; Volatility</t>
  </si>
  <si>
    <t>RSI</t>
  </si>
  <si>
    <t>Date</t>
  </si>
  <si>
    <t>2025-08-28</t>
  </si>
  <si>
    <t>2025-08-26</t>
  </si>
  <si>
    <t>2025-08-25</t>
  </si>
  <si>
    <t>2025-08-22</t>
  </si>
  <si>
    <t>2025-08-21</t>
  </si>
  <si>
    <t>Metric</t>
  </si>
  <si>
    <t>All-time High (₹)</t>
  </si>
  <si>
    <t>All-time Low (₹)</t>
  </si>
  <si>
    <t>Price (₹)</t>
  </si>
  <si>
    <t>Volume</t>
  </si>
  <si>
    <t>RSI(14)</t>
  </si>
  <si>
    <t>2025-08-14</t>
  </si>
  <si>
    <t>2025-08-13</t>
  </si>
  <si>
    <t>2025-08-12</t>
  </si>
  <si>
    <t>2025-08-11</t>
  </si>
  <si>
    <t>MACD</t>
  </si>
  <si>
    <t>Signal</t>
  </si>
  <si>
    <t>Crossover</t>
  </si>
  <si>
    <t>BUY</t>
  </si>
  <si>
    <t>2025-08-19</t>
  </si>
  <si>
    <t>SELL</t>
  </si>
  <si>
    <t>ROC (%)</t>
  </si>
  <si>
    <t>ROC</t>
  </si>
  <si>
    <t>Average Target (₹)</t>
  </si>
  <si>
    <t>Low Forecast (₹)</t>
  </si>
  <si>
    <t>High Forecast (₹)</t>
  </si>
  <si>
    <t>Analyst Consensus</t>
  </si>
  <si>
    <t>Analyst Targets</t>
  </si>
  <si>
    <t>Power Grid Corporation</t>
  </si>
  <si>
    <t>Value</t>
  </si>
  <si>
    <t>India Peak Power Demand (GW)</t>
  </si>
  <si>
    <t>Transmission Network (circuit km)</t>
  </si>
  <si>
    <t>4,70,000+</t>
  </si>
  <si>
    <t>PGCIL Market Share (%)</t>
  </si>
  <si>
    <t>Expected Power Demand CAGR (2024-2030)</t>
  </si>
  <si>
    <t>6-7%</t>
  </si>
  <si>
    <t>Renewable Capacity Target (2030, GW)</t>
  </si>
  <si>
    <t>Market Overview</t>
  </si>
  <si>
    <t>Regulation &amp; Policy</t>
  </si>
  <si>
    <t>Aspect</t>
  </si>
  <si>
    <t>Details</t>
  </si>
  <si>
    <t>Tariff Regulation</t>
  </si>
  <si>
    <t>Long-term regulated tariff (CERC)</t>
  </si>
  <si>
    <t>Regulatory Body</t>
  </si>
  <si>
    <t>CERC (Central Electricity Regulatory Commission)</t>
  </si>
  <si>
    <t>Key Scheme</t>
  </si>
  <si>
    <t>Green Energy Corridors</t>
  </si>
  <si>
    <t>Government Focus</t>
  </si>
  <si>
    <t>Integration of renewables, transmission infra expansion</t>
  </si>
  <si>
    <t>Competition</t>
  </si>
  <si>
    <t>Market Share (%)</t>
  </si>
  <si>
    <t>Strength</t>
  </si>
  <si>
    <t>Power Grid Corporation of India (PGCIL)</t>
  </si>
  <si>
    <t>National monopoly, regulated returns</t>
  </si>
  <si>
    <t>Aggressive private expansion</t>
  </si>
  <si>
    <t>Sterlite Power</t>
  </si>
  <si>
    <t>Innovative projects, niche presence</t>
  </si>
  <si>
    <t>Industry Drivers</t>
  </si>
  <si>
    <t>Driver</t>
  </si>
  <si>
    <t>Impact</t>
  </si>
  <si>
    <t>Rising electricity demand</t>
  </si>
  <si>
    <t>High</t>
  </si>
  <si>
    <t>Renewable integration</t>
  </si>
  <si>
    <t>Government infra push</t>
  </si>
  <si>
    <t>Medium</t>
  </si>
  <si>
    <t>EV adoption</t>
  </si>
  <si>
    <t>Risks</t>
  </si>
  <si>
    <t>Risk</t>
  </si>
  <si>
    <t>Severity</t>
  </si>
  <si>
    <t>Tariff cut by regulator</t>
  </si>
  <si>
    <t>Execution delays in projects</t>
  </si>
  <si>
    <t>Competition from private players</t>
  </si>
  <si>
    <t>Renewable intermittency</t>
  </si>
  <si>
    <t>Outlook</t>
  </si>
  <si>
    <t>Period</t>
  </si>
  <si>
    <t>Short Term (1-3 yrs)</t>
  </si>
  <si>
    <t>Stable regulated returns</t>
  </si>
  <si>
    <t>Medium Term (3-5 yrs)</t>
  </si>
  <si>
    <t>Expansion with renewable corridors</t>
  </si>
  <si>
    <t>Long Term (5-10 yrs)</t>
  </si>
  <si>
    <t>Strategic role in India’s green energy transition</t>
  </si>
  <si>
    <t>SHRISHTI RAIZADA</t>
  </si>
  <si>
    <t>MBA24253</t>
  </si>
  <si>
    <t>IAPM Analysis</t>
  </si>
  <si>
    <t>Power Grid Corporation Of India Ltd</t>
  </si>
  <si>
    <t>For Past 5 days</t>
  </si>
  <si>
    <t>Power Grid Corporation Of India Ltd. - Technical Analysis - MACD-2024-09-07-2025-09-07-BSE - [INR-Millions]</t>
  </si>
  <si>
    <t>Price</t>
  </si>
  <si>
    <t>Upper EDMA</t>
  </si>
  <si>
    <t>Lower EDMA</t>
  </si>
  <si>
    <t>MACD of Trigger</t>
  </si>
  <si>
    <t>CROSSOVERS</t>
  </si>
  <si>
    <t>For Past 1 year</t>
  </si>
  <si>
    <t>For Past 6 M</t>
  </si>
  <si>
    <t>Peer Median Multiple (x)</t>
  </si>
  <si>
    <t>Year</t>
  </si>
  <si>
    <t>Industry Sales</t>
  </si>
  <si>
    <t>Industry Growth Rate</t>
  </si>
  <si>
    <t>GDP</t>
  </si>
  <si>
    <t>GDP Growth</t>
  </si>
  <si>
    <t>Market Share</t>
  </si>
  <si>
    <t>Inflation</t>
  </si>
  <si>
    <t>GDP Growth Rate (IMF)</t>
  </si>
  <si>
    <t>Power Grid  Corporation Sales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</si>
  <si>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</si>
  <si>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</si>
  <si>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</si>
  <si>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</si>
  <si>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</si>
  <si>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</si>
  <si>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</si>
  <si>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</si>
  <si>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</si>
  <si>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</si>
  <si>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</si>
  <si>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</si>
  <si>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</si>
  <si>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</si>
  <si>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</si>
  <si>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</si>
  <si>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</si>
  <si>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</si>
  <si>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</si>
  <si>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</si>
  <si>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</si>
  <si>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</si>
  <si>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</si>
  <si>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</si>
  <si>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</si>
  <si>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GDP Growth Rate</t>
  </si>
  <si>
    <t>Inflation Growth Rate</t>
  </si>
  <si>
    <t>Average Market Share</t>
  </si>
  <si>
    <t>Parameter</t>
  </si>
  <si>
    <t>2025-26</t>
  </si>
  <si>
    <t>2026-27</t>
  </si>
  <si>
    <t>2027-28</t>
  </si>
  <si>
    <t>2028-29</t>
  </si>
  <si>
    <t>2029-30</t>
  </si>
  <si>
    <t>Inflation Rate</t>
  </si>
  <si>
    <t>GDP Growth rate (IMF)</t>
  </si>
  <si>
    <t>Industry Growth Rate (Based on GDP)</t>
  </si>
  <si>
    <t>Industry Growth Rate (Based on Inflation)</t>
  </si>
  <si>
    <t>% Change</t>
  </si>
  <si>
    <t>Forecasted Sales (Power Grid Corporation)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</si>
</sst>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D5E97"/>
      <name val="Calibri"/>
      <family val="2"/>
    </font>
    <font>
      <b/>
      <sz val="11"/>
      <name val="Calibri"/>
      <family val="2"/>
    </font>
    <font>
      <b/>
      <sz val="11"/>
      <color rgb="FF3D5E97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i/>
      <sz val="11"/>
      <color theme="1"/>
      <name val="Calibri"/>
      <family val="2"/>
      <scheme val="minor"/>
    </font>
    <font>
      <b/>
      <sz val="11"/>
      <color theme="0"/>
      <name val="Aptos Narrow"/>
      <family val="2"/>
    </font>
  </fonts>
  <fills count="14">
    <fill>
      <patternFill patternType="none"/>
    </fill>
    <fill>
      <patternFill patternType="gray125"/>
    </fill>
    <fill>
      <gradientFill degree="90">
        <stop position="0">
          <color rgb="FFF1FBFF"/>
        </stop>
        <stop position="1">
          <color rgb="FFF1FBFF"/>
        </stop>
      </gradient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theme="4" tint="0.39997558519241921"/>
        <bgColor rgb="FF2A3E68"/>
      </patternFill>
    </fill>
    <fill>
      <patternFill patternType="solid">
        <fgColor theme="4" tint="0.39997558519241921"/>
        <bgColor rgb="FFFFFF99"/>
      </patternFill>
    </fill>
    <fill>
      <patternFill patternType="solid">
        <fgColor theme="4" tint="0.39997558519241921"/>
        <bgColor rgb="FFD9E2F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2A3E68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DBE6EB"/>
      </left>
      <right style="thin">
        <color rgb="FFDBE6EB"/>
      </right>
      <top style="thin">
        <color rgb="FFDBE6EB"/>
      </top>
      <bottom style="thin">
        <color rgb="FFDBE6EB"/>
      </bottom>
      <diagonal/>
    </border>
    <border>
      <left/>
      <right/>
      <top/>
      <bottom style="thin">
        <color rgb="FFDBE6EB"/>
      </bottom>
      <diagonal/>
    </border>
    <border>
      <left style="thin">
        <color rgb="FFDBE6EB"/>
      </left>
      <right style="thin">
        <color rgb="FFDBE6EB"/>
      </right>
      <top style="thin">
        <color rgb="FFDBE6EB"/>
      </top>
      <bottom/>
      <diagonal/>
    </border>
    <border>
      <left/>
      <right style="thin">
        <color rgb="FFDBE6EB"/>
      </right>
      <top style="thin">
        <color rgb="FFDBE6EB"/>
      </top>
      <bottom style="thin">
        <color rgb="FFDBE6EB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3" fillId="0" borderId="0"/>
  </cellStyleXfs>
  <cellXfs count="67">
    <xf numFmtId="0" fontId="0" fillId="0" borderId="0" xfId="0"/>
    <xf numFmtId="0" fontId="3" fillId="2" borderId="1" xfId="0" applyFont="1" applyFill="1" applyBorder="1"/>
    <xf numFmtId="0" fontId="4" fillId="0" borderId="0" xfId="0" applyFont="1"/>
    <xf numFmtId="0" fontId="2" fillId="3" borderId="2" xfId="0" applyFont="1" applyFill="1" applyBorder="1" applyAlignment="1">
      <alignment horizontal="center"/>
    </xf>
    <xf numFmtId="0" fontId="5" fillId="2" borderId="3" xfId="0" applyFont="1" applyFill="1" applyBorder="1"/>
    <xf numFmtId="0" fontId="5" fillId="2" borderId="1" xfId="0" applyFont="1" applyFill="1" applyBorder="1"/>
    <xf numFmtId="17" fontId="5" fillId="2" borderId="1" xfId="0" applyNumberFormat="1" applyFont="1" applyFill="1" applyBorder="1"/>
    <xf numFmtId="0" fontId="1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/>
    <xf numFmtId="0" fontId="6" fillId="0" borderId="0" xfId="0" applyFont="1" applyAlignment="1">
      <alignment horizontal="left"/>
    </xf>
    <xf numFmtId="0" fontId="4" fillId="3" borderId="0" xfId="0" applyFont="1" applyFill="1"/>
    <xf numFmtId="9" fontId="0" fillId="0" borderId="0" xfId="1" applyFont="1"/>
    <xf numFmtId="10" fontId="0" fillId="0" borderId="0" xfId="1" applyNumberFormat="1" applyFont="1"/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0" fontId="7" fillId="3" borderId="0" xfId="0" applyFont="1" applyFill="1"/>
    <xf numFmtId="0" fontId="5" fillId="2" borderId="4" xfId="0" applyFont="1" applyFill="1" applyBorder="1"/>
    <xf numFmtId="0" fontId="8" fillId="0" borderId="0" xfId="0" applyFont="1"/>
    <xf numFmtId="0" fontId="6" fillId="5" borderId="0" xfId="0" applyFont="1" applyFill="1"/>
    <xf numFmtId="0" fontId="7" fillId="7" borderId="5" xfId="0" applyFont="1" applyFill="1" applyBorder="1"/>
    <xf numFmtId="0" fontId="7" fillId="6" borderId="0" xfId="0" applyFont="1" applyFill="1"/>
    <xf numFmtId="0" fontId="6" fillId="8" borderId="0" xfId="0" applyFont="1" applyFill="1"/>
    <xf numFmtId="0" fontId="7" fillId="7" borderId="0" xfId="0" applyFont="1" applyFill="1"/>
    <xf numFmtId="0" fontId="2" fillId="0" borderId="6" xfId="0" applyFont="1" applyBorder="1"/>
    <xf numFmtId="0" fontId="2" fillId="9" borderId="6" xfId="0" applyFont="1" applyFill="1" applyBorder="1"/>
    <xf numFmtId="0" fontId="0" fillId="0" borderId="6" xfId="0" applyBorder="1"/>
    <xf numFmtId="2" fontId="0" fillId="0" borderId="6" xfId="0" applyNumberFormat="1" applyBorder="1"/>
    <xf numFmtId="0" fontId="2" fillId="9" borderId="0" xfId="0" applyFont="1" applyFill="1"/>
    <xf numFmtId="0" fontId="4" fillId="0" borderId="6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164" fontId="0" fillId="0" borderId="6" xfId="0" applyNumberFormat="1" applyBorder="1"/>
    <xf numFmtId="0" fontId="11" fillId="9" borderId="6" xfId="0" applyFont="1" applyFill="1" applyBorder="1"/>
    <xf numFmtId="0" fontId="10" fillId="9" borderId="6" xfId="0" applyFont="1" applyFill="1" applyBorder="1"/>
    <xf numFmtId="0" fontId="4" fillId="10" borderId="0" xfId="0" applyFont="1" applyFill="1"/>
    <xf numFmtId="0" fontId="4" fillId="6" borderId="0" xfId="0" applyFont="1" applyFill="1"/>
    <xf numFmtId="0" fontId="0" fillId="9" borderId="6" xfId="0" applyFill="1" applyBorder="1"/>
    <xf numFmtId="0" fontId="12" fillId="0" borderId="0" xfId="0" applyFont="1"/>
    <xf numFmtId="0" fontId="13" fillId="0" borderId="0" xfId="2"/>
    <xf numFmtId="0" fontId="4" fillId="0" borderId="0" xfId="2" applyFont="1"/>
    <xf numFmtId="2" fontId="13" fillId="0" borderId="0" xfId="2" applyNumberFormat="1"/>
    <xf numFmtId="14" fontId="13" fillId="0" borderId="0" xfId="2" applyNumberFormat="1"/>
    <xf numFmtId="0" fontId="14" fillId="0" borderId="0" xfId="0" applyFont="1" applyAlignment="1">
      <alignment horizontal="left" vertical="center" wrapText="1"/>
    </xf>
    <xf numFmtId="0" fontId="15" fillId="11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1" fontId="6" fillId="11" borderId="0" xfId="0" applyNumberFormat="1" applyFont="1" applyFill="1" applyAlignment="1">
      <alignment horizontal="left"/>
    </xf>
    <xf numFmtId="0" fontId="1" fillId="11" borderId="0" xfId="0" applyFont="1" applyFill="1"/>
    <xf numFmtId="0" fontId="0" fillId="11" borderId="0" xfId="0" applyFill="1"/>
    <xf numFmtId="165" fontId="15" fillId="11" borderId="0" xfId="0" applyNumberFormat="1" applyFont="1" applyFill="1"/>
    <xf numFmtId="10" fontId="15" fillId="11" borderId="0" xfId="0" applyNumberFormat="1" applyFont="1" applyFill="1"/>
    <xf numFmtId="0" fontId="6" fillId="0" borderId="7" xfId="0" applyFont="1" applyBorder="1"/>
    <xf numFmtId="9" fontId="1" fillId="11" borderId="0" xfId="1" applyFont="1" applyFill="1"/>
    <xf numFmtId="0" fontId="0" fillId="0" borderId="8" xfId="0" applyBorder="1"/>
    <xf numFmtId="0" fontId="16" fillId="0" borderId="9" xfId="0" applyFont="1" applyBorder="1" applyAlignment="1">
      <alignment horizontal="center"/>
    </xf>
    <xf numFmtId="0" fontId="16" fillId="0" borderId="9" xfId="0" applyFont="1" applyBorder="1" applyAlignment="1">
      <alignment horizontal="centerContinuous"/>
    </xf>
    <xf numFmtId="0" fontId="17" fillId="12" borderId="10" xfId="0" applyFont="1" applyFill="1" applyBorder="1" applyAlignment="1">
      <alignment horizontal="center" vertical="center" wrapText="1"/>
    </xf>
    <xf numFmtId="0" fontId="17" fillId="12" borderId="11" xfId="0" applyFont="1" applyFill="1" applyBorder="1" applyAlignment="1">
      <alignment horizontal="center" vertical="center" wrapText="1"/>
    </xf>
    <xf numFmtId="0" fontId="17" fillId="12" borderId="12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13" borderId="0" xfId="0" applyFill="1"/>
    <xf numFmtId="0" fontId="2" fillId="3" borderId="2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</cellXfs>
  <cellStyles count="3">
    <cellStyle name="Normal" xfId="0" builtinId="0"/>
    <cellStyle name="Normal 2" xfId="2" xr:uid="{2B67EC2A-A869-419F-8F25-B3AD722DFD6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3</xdr:row>
      <xdr:rowOff>31751</xdr:rowOff>
    </xdr:from>
    <xdr:to>
      <xdr:col>14</xdr:col>
      <xdr:colOff>122127</xdr:colOff>
      <xdr:row>14</xdr:row>
      <xdr:rowOff>120651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0FDA71-DBD4-ED6E-7BEF-428DF430F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4850" y="584201"/>
          <a:ext cx="4332177" cy="2114550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19051</xdr:colOff>
      <xdr:row>3</xdr:row>
      <xdr:rowOff>171451</xdr:rowOff>
    </xdr:from>
    <xdr:to>
      <xdr:col>30</xdr:col>
      <xdr:colOff>113162</xdr:colOff>
      <xdr:row>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A98B68-F2AC-57A3-43FB-EEA808194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35051" y="723901"/>
          <a:ext cx="4970911" cy="2590799"/>
        </a:xfrm>
        <a:prstGeom prst="rect">
          <a:avLst/>
        </a:prstGeom>
      </xdr:spPr>
    </xdr:pic>
    <xdr:clientData/>
  </xdr:twoCellAnchor>
  <xdr:twoCellAnchor editAs="oneCell">
    <xdr:from>
      <xdr:col>38</xdr:col>
      <xdr:colOff>215901</xdr:colOff>
      <xdr:row>3</xdr:row>
      <xdr:rowOff>152400</xdr:rowOff>
    </xdr:from>
    <xdr:to>
      <xdr:col>45</xdr:col>
      <xdr:colOff>128067</xdr:colOff>
      <xdr:row>16</xdr:row>
      <xdr:rowOff>69850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248877-C374-9C3F-0B0B-88842B017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812501" y="704850"/>
          <a:ext cx="4179366" cy="2311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D009A-035B-498C-8EFD-2934037599E5}">
  <dimension ref="F4:F7"/>
  <sheetViews>
    <sheetView showGridLines="0" workbookViewId="0">
      <selection activeCell="F16" sqref="F16"/>
    </sheetView>
  </sheetViews>
  <sheetFormatPr defaultRowHeight="14.5" x14ac:dyDescent="0.35"/>
  <sheetData>
    <row r="4" spans="6:6" ht="26" x14ac:dyDescent="0.6">
      <c r="F4" s="39" t="s">
        <v>328</v>
      </c>
    </row>
    <row r="5" spans="6:6" ht="26" x14ac:dyDescent="0.6">
      <c r="F5" s="39" t="s">
        <v>329</v>
      </c>
    </row>
    <row r="6" spans="6:6" ht="26" x14ac:dyDescent="0.6">
      <c r="F6" s="39" t="s">
        <v>330</v>
      </c>
    </row>
    <row r="7" spans="6:6" ht="26" x14ac:dyDescent="0.6">
      <c r="F7" s="39" t="s">
        <v>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F2E05-F00B-493E-A1D5-ED31F1EB162F}">
  <dimension ref="A1:F20"/>
  <sheetViews>
    <sheetView zoomScale="76" zoomScaleNormal="76" workbookViewId="0">
      <selection activeCell="C12" sqref="C12"/>
    </sheetView>
  </sheetViews>
  <sheetFormatPr defaultRowHeight="14.5" x14ac:dyDescent="0.35"/>
  <cols>
    <col min="1" max="1" width="37.7265625" bestFit="1" customWidth="1"/>
    <col min="2" max="2" width="48" bestFit="1" customWidth="1"/>
    <col min="3" max="3" width="32.54296875" bestFit="1" customWidth="1"/>
    <col min="4" max="4" width="11" customWidth="1"/>
    <col min="5" max="5" width="21.6328125" bestFit="1" customWidth="1"/>
    <col min="6" max="6" width="39.90625" bestFit="1" customWidth="1"/>
  </cols>
  <sheetData>
    <row r="1" spans="1:6" x14ac:dyDescent="0.35">
      <c r="A1" s="30" t="s">
        <v>284</v>
      </c>
      <c r="E1" s="30" t="s">
        <v>304</v>
      </c>
    </row>
    <row r="2" spans="1:6" x14ac:dyDescent="0.35">
      <c r="A2" s="31" t="s">
        <v>252</v>
      </c>
      <c r="B2" s="31" t="s">
        <v>276</v>
      </c>
      <c r="E2" s="31" t="s">
        <v>305</v>
      </c>
      <c r="F2" s="31" t="s">
        <v>306</v>
      </c>
    </row>
    <row r="3" spans="1:6" x14ac:dyDescent="0.35">
      <c r="A3" s="28" t="s">
        <v>277</v>
      </c>
      <c r="B3" s="28">
        <v>250</v>
      </c>
      <c r="E3" s="28" t="s">
        <v>307</v>
      </c>
      <c r="F3" s="28" t="s">
        <v>308</v>
      </c>
    </row>
    <row r="4" spans="1:6" x14ac:dyDescent="0.35">
      <c r="A4" s="28" t="s">
        <v>278</v>
      </c>
      <c r="B4" s="28" t="s">
        <v>279</v>
      </c>
      <c r="E4" s="28" t="s">
        <v>309</v>
      </c>
      <c r="F4" s="28" t="s">
        <v>308</v>
      </c>
    </row>
    <row r="5" spans="1:6" x14ac:dyDescent="0.35">
      <c r="A5" s="28" t="s">
        <v>280</v>
      </c>
      <c r="B5" s="28">
        <v>85</v>
      </c>
      <c r="E5" s="28" t="s">
        <v>310</v>
      </c>
      <c r="F5" s="28" t="s">
        <v>311</v>
      </c>
    </row>
    <row r="6" spans="1:6" x14ac:dyDescent="0.35">
      <c r="A6" s="28" t="s">
        <v>281</v>
      </c>
      <c r="B6" s="28" t="s">
        <v>282</v>
      </c>
      <c r="E6" s="28" t="s">
        <v>312</v>
      </c>
      <c r="F6" s="28" t="s">
        <v>311</v>
      </c>
    </row>
    <row r="7" spans="1:6" x14ac:dyDescent="0.35">
      <c r="A7" s="28" t="s">
        <v>283</v>
      </c>
      <c r="B7" s="28">
        <v>500</v>
      </c>
    </row>
    <row r="8" spans="1:6" x14ac:dyDescent="0.35">
      <c r="E8" s="30" t="s">
        <v>313</v>
      </c>
    </row>
    <row r="9" spans="1:6" x14ac:dyDescent="0.35">
      <c r="A9" s="30" t="s">
        <v>285</v>
      </c>
      <c r="E9" s="31" t="s">
        <v>314</v>
      </c>
      <c r="F9" s="31" t="s">
        <v>315</v>
      </c>
    </row>
    <row r="10" spans="1:6" x14ac:dyDescent="0.35">
      <c r="A10" s="31" t="s">
        <v>286</v>
      </c>
      <c r="B10" s="31" t="s">
        <v>287</v>
      </c>
      <c r="E10" s="28" t="s">
        <v>316</v>
      </c>
      <c r="F10" s="28" t="s">
        <v>308</v>
      </c>
    </row>
    <row r="11" spans="1:6" x14ac:dyDescent="0.35">
      <c r="A11" s="28" t="s">
        <v>288</v>
      </c>
      <c r="B11" s="28" t="s">
        <v>289</v>
      </c>
      <c r="E11" s="28" t="s">
        <v>317</v>
      </c>
      <c r="F11" s="28" t="s">
        <v>311</v>
      </c>
    </row>
    <row r="12" spans="1:6" x14ac:dyDescent="0.35">
      <c r="A12" s="28" t="s">
        <v>290</v>
      </c>
      <c r="B12" s="28" t="s">
        <v>291</v>
      </c>
      <c r="E12" s="28" t="s">
        <v>318</v>
      </c>
      <c r="F12" s="28" t="s">
        <v>311</v>
      </c>
    </row>
    <row r="13" spans="1:6" x14ac:dyDescent="0.35">
      <c r="A13" s="28" t="s">
        <v>292</v>
      </c>
      <c r="B13" s="28" t="s">
        <v>293</v>
      </c>
      <c r="E13" s="28" t="s">
        <v>319</v>
      </c>
      <c r="F13" s="28" t="s">
        <v>311</v>
      </c>
    </row>
    <row r="14" spans="1:6" x14ac:dyDescent="0.35">
      <c r="A14" s="28" t="s">
        <v>294</v>
      </c>
      <c r="B14" s="28" t="s">
        <v>295</v>
      </c>
    </row>
    <row r="15" spans="1:6" x14ac:dyDescent="0.35">
      <c r="E15" s="30" t="s">
        <v>320</v>
      </c>
    </row>
    <row r="16" spans="1:6" x14ac:dyDescent="0.35">
      <c r="A16" s="30" t="s">
        <v>296</v>
      </c>
      <c r="E16" s="31" t="s">
        <v>321</v>
      </c>
      <c r="F16" s="31" t="s">
        <v>320</v>
      </c>
    </row>
    <row r="17" spans="1:6" x14ac:dyDescent="0.35">
      <c r="A17" s="31" t="s">
        <v>239</v>
      </c>
      <c r="B17" s="31" t="s">
        <v>297</v>
      </c>
      <c r="C17" s="31" t="s">
        <v>298</v>
      </c>
      <c r="D17" s="32"/>
      <c r="E17" s="28" t="s">
        <v>322</v>
      </c>
      <c r="F17" s="28" t="s">
        <v>323</v>
      </c>
    </row>
    <row r="18" spans="1:6" x14ac:dyDescent="0.35">
      <c r="A18" s="28" t="s">
        <v>299</v>
      </c>
      <c r="B18" s="28">
        <v>85</v>
      </c>
      <c r="C18" s="28" t="s">
        <v>300</v>
      </c>
      <c r="E18" s="28" t="s">
        <v>324</v>
      </c>
      <c r="F18" s="28" t="s">
        <v>325</v>
      </c>
    </row>
    <row r="19" spans="1:6" x14ac:dyDescent="0.35">
      <c r="A19" s="28" t="s">
        <v>213</v>
      </c>
      <c r="B19" s="28">
        <v>10</v>
      </c>
      <c r="C19" s="28" t="s">
        <v>301</v>
      </c>
      <c r="E19" s="28" t="s">
        <v>326</v>
      </c>
      <c r="F19" s="28" t="s">
        <v>327</v>
      </c>
    </row>
    <row r="20" spans="1:6" x14ac:dyDescent="0.35">
      <c r="A20" s="28" t="s">
        <v>302</v>
      </c>
      <c r="B20" s="28">
        <v>3</v>
      </c>
      <c r="C20" s="28" t="s">
        <v>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CE104-8B1F-494A-A3E9-4168F2306569}">
  <dimension ref="A1:AB34"/>
  <sheetViews>
    <sheetView zoomScale="80" zoomScaleNormal="80" workbookViewId="0">
      <selection activeCell="Z23" sqref="Z23"/>
    </sheetView>
  </sheetViews>
  <sheetFormatPr defaultRowHeight="14.5" x14ac:dyDescent="0.35"/>
  <cols>
    <col min="3" max="3" width="19.36328125" bestFit="1" customWidth="1"/>
    <col min="10" max="10" width="17.26953125" bestFit="1" customWidth="1"/>
    <col min="14" max="14" width="36.36328125" bestFit="1" customWidth="1"/>
    <col min="20" max="20" width="17.26953125" bestFit="1" customWidth="1"/>
  </cols>
  <sheetData>
    <row r="1" spans="1:19" ht="58" x14ac:dyDescent="0.35">
      <c r="A1" s="45" t="s">
        <v>342</v>
      </c>
      <c r="B1" s="45" t="s">
        <v>343</v>
      </c>
      <c r="C1" s="46" t="s">
        <v>344</v>
      </c>
      <c r="D1" s="45" t="s">
        <v>345</v>
      </c>
      <c r="E1" s="46" t="s">
        <v>346</v>
      </c>
      <c r="F1" s="45" t="s">
        <v>350</v>
      </c>
      <c r="G1" s="45" t="s">
        <v>347</v>
      </c>
      <c r="H1" s="45" t="s">
        <v>348</v>
      </c>
      <c r="I1" s="45" t="s">
        <v>376</v>
      </c>
      <c r="J1" s="45" t="s">
        <v>377</v>
      </c>
      <c r="K1" s="45" t="s">
        <v>348</v>
      </c>
      <c r="L1" s="45" t="s">
        <v>349</v>
      </c>
      <c r="N1" s="57" t="s">
        <v>379</v>
      </c>
      <c r="O1" s="58" t="s">
        <v>380</v>
      </c>
      <c r="P1" s="58" t="s">
        <v>381</v>
      </c>
      <c r="Q1" s="58" t="s">
        <v>382</v>
      </c>
      <c r="R1" s="58" t="s">
        <v>383</v>
      </c>
      <c r="S1" s="59" t="s">
        <v>384</v>
      </c>
    </row>
    <row r="2" spans="1:19" x14ac:dyDescent="0.35">
      <c r="A2" s="47">
        <v>2013</v>
      </c>
      <c r="B2" s="52">
        <v>234618.99</v>
      </c>
      <c r="D2" s="48">
        <v>9944013</v>
      </c>
      <c r="E2" s="49"/>
      <c r="F2" s="52">
        <v>13163.9</v>
      </c>
      <c r="G2" s="14">
        <f>F2/B2</f>
        <v>5.6107564012614665E-2</v>
      </c>
      <c r="H2" s="48">
        <v>9.4</v>
      </c>
      <c r="I2" s="53">
        <f>9.4/100</f>
        <v>9.4E-2</v>
      </c>
      <c r="J2" s="48">
        <v>6.4</v>
      </c>
      <c r="K2" s="50">
        <f t="shared" ref="K2:K14" si="0">J2/100</f>
        <v>6.4000000000000001E-2</v>
      </c>
      <c r="L2" s="51">
        <f>I2/100</f>
        <v>9.3999999999999997E-4</v>
      </c>
      <c r="N2" s="60" t="s">
        <v>385</v>
      </c>
      <c r="O2" s="61">
        <v>4.0999999999999996</v>
      </c>
      <c r="P2" s="61">
        <v>4</v>
      </c>
      <c r="Q2" s="61">
        <v>4</v>
      </c>
      <c r="R2" s="61">
        <v>4</v>
      </c>
      <c r="S2" s="61">
        <v>4</v>
      </c>
    </row>
    <row r="3" spans="1:19" x14ac:dyDescent="0.35">
      <c r="A3" s="47">
        <v>2014</v>
      </c>
      <c r="B3" s="52">
        <v>262332.12999999995</v>
      </c>
      <c r="C3" s="14">
        <f>(B3-B2)/B2</f>
        <v>0.11811976515626445</v>
      </c>
      <c r="D3" s="48">
        <v>11233522</v>
      </c>
      <c r="E3" s="48">
        <f>(D3-D2)/D2</f>
        <v>0.12967692218423285</v>
      </c>
      <c r="F3" s="52">
        <v>15675.43</v>
      </c>
      <c r="G3" s="14">
        <f t="shared" ref="G3:G14" si="1">F3/B3</f>
        <v>5.9754136864592237E-2</v>
      </c>
      <c r="H3" s="48">
        <v>5.8</v>
      </c>
      <c r="I3" s="53">
        <f>5.8/100</f>
        <v>5.7999999999999996E-2</v>
      </c>
      <c r="J3" s="48">
        <v>7.4</v>
      </c>
      <c r="K3" s="50">
        <f t="shared" si="0"/>
        <v>7.400000000000001E-2</v>
      </c>
      <c r="L3" s="51">
        <f t="shared" ref="L3:L14" si="2">I3/100</f>
        <v>5.8E-4</v>
      </c>
      <c r="N3" s="60" t="s">
        <v>386</v>
      </c>
      <c r="O3" s="61">
        <v>6.3</v>
      </c>
      <c r="P3" s="61">
        <v>6.5</v>
      </c>
      <c r="Q3" s="61">
        <v>6.5</v>
      </c>
      <c r="R3" s="61">
        <v>6.5</v>
      </c>
      <c r="S3" s="61">
        <v>6.5</v>
      </c>
    </row>
    <row r="4" spans="1:19" x14ac:dyDescent="0.35">
      <c r="A4" s="47">
        <v>2015</v>
      </c>
      <c r="B4" s="52">
        <v>277760.39</v>
      </c>
      <c r="C4" s="14">
        <f t="shared" ref="C4:C14" si="3">(B4-B3)/B3</f>
        <v>5.8811934321579558E-2</v>
      </c>
      <c r="D4" s="48">
        <v>12467959</v>
      </c>
      <c r="E4" s="48">
        <f t="shared" ref="E4:E14" si="4">(D4-D3)/D3</f>
        <v>0.10988868851638872</v>
      </c>
      <c r="F4" s="52">
        <v>17658.509999999998</v>
      </c>
      <c r="G4" s="14">
        <f t="shared" si="1"/>
        <v>6.3574615516632876E-2</v>
      </c>
      <c r="H4" s="48">
        <v>4.9000000000000004</v>
      </c>
      <c r="I4" s="53">
        <f>H4/100</f>
        <v>4.9000000000000002E-2</v>
      </c>
      <c r="J4" s="48">
        <v>8</v>
      </c>
      <c r="K4" s="50">
        <f t="shared" si="0"/>
        <v>0.08</v>
      </c>
      <c r="L4" s="51">
        <f t="shared" si="2"/>
        <v>4.8999999999999998E-4</v>
      </c>
      <c r="N4" s="60"/>
      <c r="O4" s="28"/>
      <c r="P4" s="28"/>
      <c r="Q4" s="28"/>
      <c r="R4" s="28"/>
      <c r="S4" s="28"/>
    </row>
    <row r="5" spans="1:19" x14ac:dyDescent="0.35">
      <c r="A5" s="47">
        <v>2016</v>
      </c>
      <c r="B5" s="52">
        <v>312391.14000000007</v>
      </c>
      <c r="C5" s="14">
        <f t="shared" si="3"/>
        <v>0.1246785043756601</v>
      </c>
      <c r="D5" s="48">
        <v>13771874</v>
      </c>
      <c r="E5" s="48">
        <f t="shared" si="4"/>
        <v>0.10458127108053532</v>
      </c>
      <c r="F5" s="52">
        <v>20652.080000000002</v>
      </c>
      <c r="G5" s="14">
        <f t="shared" si="1"/>
        <v>6.6109685441142776E-2</v>
      </c>
      <c r="H5" s="48">
        <v>4.5</v>
      </c>
      <c r="I5" s="53">
        <f t="shared" ref="I5:I14" si="5">H5/100</f>
        <v>4.4999999999999998E-2</v>
      </c>
      <c r="J5" s="48">
        <v>8.3000000000000007</v>
      </c>
      <c r="K5" s="50">
        <f t="shared" si="0"/>
        <v>8.3000000000000004E-2</v>
      </c>
      <c r="L5" s="51">
        <f t="shared" si="2"/>
        <v>4.4999999999999999E-4</v>
      </c>
      <c r="N5" s="60"/>
      <c r="O5" s="28"/>
      <c r="P5" s="28"/>
      <c r="Q5" s="28"/>
      <c r="R5" s="28"/>
      <c r="S5" s="28"/>
    </row>
    <row r="6" spans="1:19" x14ac:dyDescent="0.35">
      <c r="A6" s="47">
        <v>2017</v>
      </c>
      <c r="B6" s="52">
        <v>346635.24999999994</v>
      </c>
      <c r="C6" s="14">
        <f t="shared" si="3"/>
        <v>0.10961933811567083</v>
      </c>
      <c r="D6" s="48">
        <v>15391669</v>
      </c>
      <c r="E6" s="48">
        <f t="shared" si="4"/>
        <v>0.11761616465558718</v>
      </c>
      <c r="F6" s="52">
        <v>25697.439999999999</v>
      </c>
      <c r="G6" s="14">
        <f t="shared" si="1"/>
        <v>7.413394915837325E-2</v>
      </c>
      <c r="H6" s="48">
        <v>3.6</v>
      </c>
      <c r="I6" s="53">
        <f t="shared" si="5"/>
        <v>3.6000000000000004E-2</v>
      </c>
      <c r="J6" s="48">
        <v>6.8</v>
      </c>
      <c r="K6" s="50">
        <f t="shared" si="0"/>
        <v>6.8000000000000005E-2</v>
      </c>
      <c r="L6" s="51">
        <f t="shared" si="2"/>
        <v>3.6000000000000002E-4</v>
      </c>
      <c r="N6" s="60"/>
      <c r="O6" s="28"/>
      <c r="P6" s="28"/>
      <c r="Q6" s="28"/>
      <c r="R6" s="28"/>
      <c r="S6" s="28"/>
    </row>
    <row r="7" spans="1:19" x14ac:dyDescent="0.35">
      <c r="A7" s="47">
        <v>2018</v>
      </c>
      <c r="B7" s="52">
        <v>361556.78000000009</v>
      </c>
      <c r="C7" s="14">
        <f t="shared" si="3"/>
        <v>4.3046776114085764E-2</v>
      </c>
      <c r="D7" s="48">
        <v>17090042</v>
      </c>
      <c r="E7" s="48">
        <f t="shared" si="4"/>
        <v>0.11034365408975466</v>
      </c>
      <c r="F7" s="52">
        <v>29953.62</v>
      </c>
      <c r="G7" s="14">
        <f t="shared" si="1"/>
        <v>8.2846240637500956E-2</v>
      </c>
      <c r="H7" s="48">
        <v>3.4</v>
      </c>
      <c r="I7" s="53">
        <f t="shared" si="5"/>
        <v>3.4000000000000002E-2</v>
      </c>
      <c r="J7" s="48">
        <v>6.5</v>
      </c>
      <c r="K7" s="50">
        <f t="shared" si="0"/>
        <v>6.5000000000000002E-2</v>
      </c>
      <c r="L7" s="51">
        <f t="shared" si="2"/>
        <v>3.4000000000000002E-4</v>
      </c>
      <c r="N7" s="60" t="s">
        <v>387</v>
      </c>
      <c r="O7" s="29">
        <f>O3*$K$34</f>
        <v>7.3780094603114961</v>
      </c>
      <c r="P7" s="29">
        <f t="shared" ref="P7:S7" si="6">P3*$K$34</f>
        <v>7.6122319828610676</v>
      </c>
      <c r="Q7" s="29">
        <f t="shared" si="6"/>
        <v>7.6122319828610676</v>
      </c>
      <c r="R7" s="29">
        <f t="shared" si="6"/>
        <v>7.6122319828610676</v>
      </c>
      <c r="S7" s="29">
        <f t="shared" si="6"/>
        <v>7.6122319828610676</v>
      </c>
    </row>
    <row r="8" spans="1:19" x14ac:dyDescent="0.35">
      <c r="A8" s="47">
        <v>2019</v>
      </c>
      <c r="B8" s="52">
        <v>379720.47999999986</v>
      </c>
      <c r="C8" s="14">
        <f t="shared" si="3"/>
        <v>5.0237475839893735E-2</v>
      </c>
      <c r="D8" s="48">
        <v>18899668</v>
      </c>
      <c r="E8" s="48">
        <f t="shared" si="4"/>
        <v>0.10588774445375851</v>
      </c>
      <c r="F8" s="52">
        <v>35059.120000000003</v>
      </c>
      <c r="G8" s="14">
        <f t="shared" si="1"/>
        <v>9.2328757195292752E-2</v>
      </c>
      <c r="H8" s="48">
        <v>4.8</v>
      </c>
      <c r="I8" s="53">
        <f t="shared" si="5"/>
        <v>4.8000000000000001E-2</v>
      </c>
      <c r="J8" s="48">
        <v>3.9</v>
      </c>
      <c r="K8" s="50">
        <f t="shared" si="0"/>
        <v>3.9E-2</v>
      </c>
      <c r="L8" s="51">
        <f t="shared" si="2"/>
        <v>4.8000000000000001E-4</v>
      </c>
      <c r="N8" s="60" t="s">
        <v>388</v>
      </c>
      <c r="O8" s="29">
        <f>O2*$U$34</f>
        <v>7.8685567412463264</v>
      </c>
      <c r="P8" s="29">
        <f t="shared" ref="P8:S8" si="7">P2*$U$34</f>
        <v>7.6766407231671483</v>
      </c>
      <c r="Q8" s="29">
        <f t="shared" si="7"/>
        <v>7.6766407231671483</v>
      </c>
      <c r="R8" s="29">
        <f t="shared" si="7"/>
        <v>7.6766407231671483</v>
      </c>
      <c r="S8" s="29">
        <f t="shared" si="7"/>
        <v>7.6766407231671483</v>
      </c>
    </row>
    <row r="9" spans="1:19" x14ac:dyDescent="0.35">
      <c r="A9" s="47">
        <v>2020</v>
      </c>
      <c r="B9" s="52">
        <v>408525.95999999996</v>
      </c>
      <c r="C9" s="14">
        <f t="shared" si="3"/>
        <v>7.5859695531829377E-2</v>
      </c>
      <c r="D9" s="48">
        <v>20103593</v>
      </c>
      <c r="E9" s="48">
        <f t="shared" si="4"/>
        <v>6.3700854427707412E-2</v>
      </c>
      <c r="F9" s="52">
        <v>37743.54</v>
      </c>
      <c r="G9" s="14">
        <f t="shared" si="1"/>
        <v>9.2389575438486221E-2</v>
      </c>
      <c r="H9" s="48">
        <v>6.2</v>
      </c>
      <c r="I9" s="53">
        <f t="shared" si="5"/>
        <v>6.2E-2</v>
      </c>
      <c r="J9" s="48">
        <v>-5.8</v>
      </c>
      <c r="K9" s="50">
        <f t="shared" si="0"/>
        <v>-5.7999999999999996E-2</v>
      </c>
      <c r="L9" s="51">
        <f t="shared" si="2"/>
        <v>6.2E-4</v>
      </c>
      <c r="N9" s="60"/>
      <c r="O9" s="28"/>
      <c r="P9" s="28"/>
      <c r="Q9" s="28"/>
      <c r="R9" s="28"/>
      <c r="S9" s="28"/>
    </row>
    <row r="10" spans="1:19" x14ac:dyDescent="0.35">
      <c r="A10" s="47">
        <v>2021</v>
      </c>
      <c r="B10" s="52">
        <v>370975.85</v>
      </c>
      <c r="C10" s="14">
        <f t="shared" si="3"/>
        <v>-9.1916092676215699E-2</v>
      </c>
      <c r="D10" s="48">
        <v>19854096</v>
      </c>
      <c r="E10" s="48">
        <f t="shared" si="4"/>
        <v>-1.2410567603512467E-2</v>
      </c>
      <c r="F10" s="52">
        <v>39639.79</v>
      </c>
      <c r="G10" s="14">
        <f t="shared" si="1"/>
        <v>0.10685275065748889</v>
      </c>
      <c r="H10" s="48">
        <v>5.5</v>
      </c>
      <c r="I10" s="53">
        <f t="shared" si="5"/>
        <v>5.5E-2</v>
      </c>
      <c r="J10" s="48">
        <v>9.6999999999999993</v>
      </c>
      <c r="K10" s="50">
        <f t="shared" si="0"/>
        <v>9.6999999999999989E-2</v>
      </c>
      <c r="L10" s="51">
        <f t="shared" si="2"/>
        <v>5.5000000000000003E-4</v>
      </c>
      <c r="N10" s="60"/>
      <c r="O10" s="28"/>
      <c r="P10" s="28"/>
      <c r="Q10" s="28"/>
      <c r="R10" s="28"/>
      <c r="S10" s="28"/>
    </row>
    <row r="11" spans="1:19" x14ac:dyDescent="0.35">
      <c r="A11" s="47">
        <v>2022</v>
      </c>
      <c r="B11" s="52">
        <v>438241.44999999995</v>
      </c>
      <c r="C11" s="14">
        <f t="shared" si="3"/>
        <v>0.18132069782979129</v>
      </c>
      <c r="D11" s="48">
        <v>23597398.530000001</v>
      </c>
      <c r="E11" s="48">
        <f t="shared" si="4"/>
        <v>0.18854056764911387</v>
      </c>
      <c r="F11" s="52">
        <v>41621.64</v>
      </c>
      <c r="G11" s="14">
        <f t="shared" si="1"/>
        <v>9.4974220261456341E-2</v>
      </c>
      <c r="H11" s="48">
        <v>6.7</v>
      </c>
      <c r="I11" s="53">
        <f t="shared" si="5"/>
        <v>6.7000000000000004E-2</v>
      </c>
      <c r="J11" s="48">
        <v>7.6</v>
      </c>
      <c r="K11" s="50">
        <f t="shared" si="0"/>
        <v>7.5999999999999998E-2</v>
      </c>
      <c r="L11" s="51">
        <f t="shared" si="2"/>
        <v>6.7000000000000002E-4</v>
      </c>
      <c r="N11" s="60" t="s">
        <v>343</v>
      </c>
      <c r="O11" s="28">
        <f>B14*(1+O7%)</f>
        <v>687706.28424570162</v>
      </c>
      <c r="P11" s="28">
        <f>O11*(1+P7%)</f>
        <v>740056.08196319838</v>
      </c>
      <c r="Q11" s="28">
        <f t="shared" ref="Q11:S11" si="8">P11*(1+Q7%)</f>
        <v>796390.86772550957</v>
      </c>
      <c r="R11" s="28">
        <f t="shared" si="8"/>
        <v>857013.98806709563</v>
      </c>
      <c r="S11" s="28">
        <f t="shared" si="8"/>
        <v>922251.88096433226</v>
      </c>
    </row>
    <row r="12" spans="1:19" x14ac:dyDescent="0.35">
      <c r="A12" s="47">
        <v>2023</v>
      </c>
      <c r="B12" s="52">
        <v>578325.95999999973</v>
      </c>
      <c r="C12" s="14">
        <f t="shared" si="3"/>
        <v>0.31965143872173613</v>
      </c>
      <c r="D12" s="48">
        <v>26890472.57</v>
      </c>
      <c r="E12" s="48">
        <f t="shared" si="4"/>
        <v>0.13955241870469012</v>
      </c>
      <c r="F12" s="52">
        <v>45603.11</v>
      </c>
      <c r="G12" s="14">
        <f t="shared" si="1"/>
        <v>7.8853645096616493E-2</v>
      </c>
      <c r="H12" s="48">
        <v>5.4</v>
      </c>
      <c r="I12" s="53">
        <f t="shared" si="5"/>
        <v>5.4000000000000006E-2</v>
      </c>
      <c r="J12" s="48">
        <v>9.1999999999999993</v>
      </c>
      <c r="K12" s="50">
        <f t="shared" si="0"/>
        <v>9.1999999999999998E-2</v>
      </c>
      <c r="L12" s="51">
        <f t="shared" si="2"/>
        <v>5.4000000000000012E-4</v>
      </c>
      <c r="N12" s="60" t="s">
        <v>390</v>
      </c>
      <c r="O12" s="28">
        <f>O11*$E$19</f>
        <v>59996.415282149952</v>
      </c>
      <c r="P12" s="28">
        <f t="shared" ref="P12:S12" si="9">P11*$E$19</f>
        <v>64563.481594827914</v>
      </c>
      <c r="Q12" s="28">
        <f t="shared" si="9"/>
        <v>69478.203590038029</v>
      </c>
      <c r="R12" s="28">
        <f t="shared" si="9"/>
        <v>74767.045624836246</v>
      </c>
      <c r="S12" s="28">
        <f t="shared" si="9"/>
        <v>80458.486584530358</v>
      </c>
    </row>
    <row r="13" spans="1:19" x14ac:dyDescent="0.35">
      <c r="A13" s="47">
        <v>2024</v>
      </c>
      <c r="B13" s="52">
        <v>621259.53999999969</v>
      </c>
      <c r="C13" s="14">
        <f t="shared" si="3"/>
        <v>7.4237684229149906E-2</v>
      </c>
      <c r="D13" s="48">
        <v>30122955.899999999</v>
      </c>
      <c r="E13" s="48">
        <f t="shared" si="4"/>
        <v>0.1202092421985278</v>
      </c>
      <c r="F13" s="52">
        <v>45843.1</v>
      </c>
      <c r="G13" s="14">
        <f t="shared" si="1"/>
        <v>7.3790577123371046E-2</v>
      </c>
      <c r="H13" s="48">
        <v>4.7</v>
      </c>
      <c r="I13" s="53">
        <f t="shared" si="5"/>
        <v>4.7E-2</v>
      </c>
      <c r="J13" s="48">
        <v>6.5</v>
      </c>
      <c r="K13" s="50">
        <f t="shared" si="0"/>
        <v>6.5000000000000002E-2</v>
      </c>
      <c r="L13" s="51">
        <f t="shared" si="2"/>
        <v>4.6999999999999999E-4</v>
      </c>
      <c r="N13" s="60"/>
      <c r="O13" s="28"/>
      <c r="P13" s="28"/>
      <c r="Q13" s="28"/>
      <c r="R13" s="28"/>
      <c r="S13" s="28"/>
    </row>
    <row r="14" spans="1:19" x14ac:dyDescent="0.35">
      <c r="A14" s="47">
        <v>2025</v>
      </c>
      <c r="B14" s="52">
        <v>640453.55999999994</v>
      </c>
      <c r="C14" s="14">
        <f t="shared" si="3"/>
        <v>3.0895332408095111E-2</v>
      </c>
      <c r="D14" s="48">
        <v>33068000</v>
      </c>
      <c r="E14" s="48">
        <f t="shared" si="4"/>
        <v>9.7767433905780868E-2</v>
      </c>
      <c r="F14" s="52">
        <v>45792.32</v>
      </c>
      <c r="G14" s="14">
        <f t="shared" si="1"/>
        <v>7.1499828964960405E-2</v>
      </c>
      <c r="H14" s="48">
        <v>4.2</v>
      </c>
      <c r="I14" s="53">
        <f t="shared" si="5"/>
        <v>4.2000000000000003E-2</v>
      </c>
      <c r="J14" s="48">
        <v>6.2</v>
      </c>
      <c r="K14" s="50">
        <f t="shared" si="0"/>
        <v>6.2E-2</v>
      </c>
      <c r="L14" s="51">
        <f t="shared" si="2"/>
        <v>4.2000000000000002E-4</v>
      </c>
      <c r="N14" s="60" t="s">
        <v>389</v>
      </c>
      <c r="O14" s="28"/>
      <c r="P14" s="28">
        <f>(P12-O12)/O12</f>
        <v>7.6122319828610646E-2</v>
      </c>
      <c r="Q14" s="28">
        <f t="shared" ref="Q14:S14" si="10">(Q12-P12)/P12</f>
        <v>7.6122319828610757E-2</v>
      </c>
      <c r="R14" s="28">
        <f t="shared" si="10"/>
        <v>7.612231982861091E-2</v>
      </c>
      <c r="S14" s="28">
        <f t="shared" si="10"/>
        <v>7.6122319828610674E-2</v>
      </c>
    </row>
    <row r="17" spans="3:28" x14ac:dyDescent="0.35">
      <c r="J17" s="62" t="s">
        <v>351</v>
      </c>
      <c r="L17" s="62" t="s">
        <v>345</v>
      </c>
      <c r="T17" s="62" t="s">
        <v>351</v>
      </c>
      <c r="V17" s="62" t="s">
        <v>348</v>
      </c>
    </row>
    <row r="18" spans="3:28" ht="15" thickBot="1" x14ac:dyDescent="0.4"/>
    <row r="19" spans="3:28" x14ac:dyDescent="0.35">
      <c r="C19" s="62" t="s">
        <v>378</v>
      </c>
      <c r="E19" s="15">
        <f>AVERAGE(G8:G14)</f>
        <v>8.7241336391096019E-2</v>
      </c>
      <c r="J19" s="56" t="s">
        <v>352</v>
      </c>
      <c r="K19" s="56"/>
      <c r="T19" s="56" t="s">
        <v>352</v>
      </c>
      <c r="U19" s="56"/>
    </row>
    <row r="20" spans="3:28" x14ac:dyDescent="0.35">
      <c r="J20" t="s">
        <v>353</v>
      </c>
      <c r="K20">
        <v>0.63691222272755144</v>
      </c>
      <c r="T20" t="s">
        <v>353</v>
      </c>
      <c r="U20">
        <v>0.72374705316546928</v>
      </c>
    </row>
    <row r="21" spans="3:28" x14ac:dyDescent="0.35">
      <c r="J21" t="s">
        <v>354</v>
      </c>
      <c r="K21">
        <v>0.40565717945975005</v>
      </c>
      <c r="T21" t="s">
        <v>354</v>
      </c>
      <c r="U21">
        <v>0.52380979696570062</v>
      </c>
    </row>
    <row r="22" spans="3:28" x14ac:dyDescent="0.35">
      <c r="J22" t="s">
        <v>355</v>
      </c>
      <c r="K22">
        <v>0.30565717945975007</v>
      </c>
      <c r="T22" t="s">
        <v>355</v>
      </c>
      <c r="U22">
        <v>0.42380979696570059</v>
      </c>
    </row>
    <row r="23" spans="3:28" x14ac:dyDescent="0.35">
      <c r="J23" t="s">
        <v>356</v>
      </c>
      <c r="K23">
        <v>0.1101435231026098</v>
      </c>
      <c r="T23" t="s">
        <v>356</v>
      </c>
      <c r="U23">
        <v>9.8589503957786151E-2</v>
      </c>
    </row>
    <row r="24" spans="3:28" ht="15" thickBot="1" x14ac:dyDescent="0.4">
      <c r="J24" s="54" t="s">
        <v>357</v>
      </c>
      <c r="K24" s="54">
        <v>11</v>
      </c>
      <c r="T24" s="54" t="s">
        <v>357</v>
      </c>
      <c r="U24" s="54">
        <v>11</v>
      </c>
    </row>
    <row r="26" spans="3:28" ht="15" thickBot="1" x14ac:dyDescent="0.4">
      <c r="J26" t="s">
        <v>358</v>
      </c>
      <c r="T26" t="s">
        <v>358</v>
      </c>
    </row>
    <row r="27" spans="3:28" x14ac:dyDescent="0.35">
      <c r="J27" s="55"/>
      <c r="K27" s="55" t="s">
        <v>363</v>
      </c>
      <c r="L27" s="55" t="s">
        <v>364</v>
      </c>
      <c r="M27" s="55" t="s">
        <v>365</v>
      </c>
      <c r="N27" s="55" t="s">
        <v>366</v>
      </c>
      <c r="O27" s="55" t="s">
        <v>367</v>
      </c>
      <c r="T27" s="55"/>
      <c r="U27" s="55" t="s">
        <v>363</v>
      </c>
      <c r="V27" s="55" t="s">
        <v>364</v>
      </c>
      <c r="W27" s="55" t="s">
        <v>365</v>
      </c>
      <c r="X27" s="55" t="s">
        <v>366</v>
      </c>
      <c r="Y27" s="55" t="s">
        <v>367</v>
      </c>
    </row>
    <row r="28" spans="3:28" x14ac:dyDescent="0.35">
      <c r="J28" t="s">
        <v>359</v>
      </c>
      <c r="K28">
        <v>1</v>
      </c>
      <c r="L28">
        <v>8.2801856376624641E-2</v>
      </c>
      <c r="M28">
        <v>8.2801856376624641E-2</v>
      </c>
      <c r="N28">
        <v>6.8253062952962553</v>
      </c>
      <c r="O28">
        <v>2.8153763640812787E-2</v>
      </c>
      <c r="T28" t="s">
        <v>359</v>
      </c>
      <c r="U28">
        <v>1</v>
      </c>
      <c r="V28">
        <v>0.10691891028475274</v>
      </c>
      <c r="W28">
        <v>0.10691891028475274</v>
      </c>
      <c r="X28">
        <v>11.000012046194309</v>
      </c>
      <c r="Y28">
        <v>8.9884914403894241E-3</v>
      </c>
    </row>
    <row r="29" spans="3:28" x14ac:dyDescent="0.35">
      <c r="J29" t="s">
        <v>360</v>
      </c>
      <c r="K29">
        <v>10</v>
      </c>
      <c r="L29">
        <v>0.12131595681455141</v>
      </c>
      <c r="M29">
        <v>1.2131595681455141E-2</v>
      </c>
      <c r="T29" t="s">
        <v>360</v>
      </c>
      <c r="U29">
        <v>10</v>
      </c>
      <c r="V29">
        <v>9.7198902906423315E-2</v>
      </c>
      <c r="W29">
        <v>9.7198902906423315E-3</v>
      </c>
    </row>
    <row r="30" spans="3:28" ht="15" thickBot="1" x14ac:dyDescent="0.4">
      <c r="J30" s="54" t="s">
        <v>361</v>
      </c>
      <c r="K30" s="54">
        <v>11</v>
      </c>
      <c r="L30" s="54">
        <v>0.20411781319117606</v>
      </c>
      <c r="M30" s="54"/>
      <c r="N30" s="54"/>
      <c r="O30" s="54"/>
      <c r="T30" s="54" t="s">
        <v>361</v>
      </c>
      <c r="U30" s="54">
        <v>11</v>
      </c>
      <c r="V30" s="54">
        <v>0.20411781319117606</v>
      </c>
      <c r="W30" s="54"/>
      <c r="X30" s="54"/>
      <c r="Y30" s="54"/>
    </row>
    <row r="31" spans="3:28" ht="15" thickBot="1" x14ac:dyDescent="0.4"/>
    <row r="32" spans="3:28" x14ac:dyDescent="0.35">
      <c r="J32" s="55"/>
      <c r="K32" s="55" t="s">
        <v>368</v>
      </c>
      <c r="L32" s="55" t="s">
        <v>356</v>
      </c>
      <c r="M32" s="55" t="s">
        <v>369</v>
      </c>
      <c r="N32" s="55" t="s">
        <v>370</v>
      </c>
      <c r="O32" s="55" t="s">
        <v>371</v>
      </c>
      <c r="P32" s="55" t="s">
        <v>372</v>
      </c>
      <c r="Q32" s="55" t="s">
        <v>373</v>
      </c>
      <c r="R32" s="55" t="s">
        <v>374</v>
      </c>
      <c r="T32" s="55"/>
      <c r="U32" s="55" t="s">
        <v>368</v>
      </c>
      <c r="V32" s="55" t="s">
        <v>356</v>
      </c>
      <c r="W32" s="55" t="s">
        <v>369</v>
      </c>
      <c r="X32" s="55" t="s">
        <v>370</v>
      </c>
      <c r="Y32" s="55" t="s">
        <v>371</v>
      </c>
      <c r="Z32" s="55" t="s">
        <v>372</v>
      </c>
      <c r="AA32" s="55" t="s">
        <v>373</v>
      </c>
      <c r="AB32" s="55" t="s">
        <v>374</v>
      </c>
    </row>
    <row r="33" spans="10:28" x14ac:dyDescent="0.35">
      <c r="J33" t="s">
        <v>362</v>
      </c>
      <c r="K33">
        <v>0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T33" t="s">
        <v>362</v>
      </c>
      <c r="U33">
        <v>0</v>
      </c>
      <c r="V33" t="e">
        <v>#N/A</v>
      </c>
      <c r="W33" t="e">
        <v>#N/A</v>
      </c>
      <c r="X33" t="e">
        <v>#N/A</v>
      </c>
      <c r="Y33" t="e">
        <v>#N/A</v>
      </c>
      <c r="Z33" t="e">
        <v>#N/A</v>
      </c>
      <c r="AA33" t="e">
        <v>#N/A</v>
      </c>
      <c r="AB33" t="e">
        <v>#N/A</v>
      </c>
    </row>
    <row r="34" spans="10:28" ht="15" thickBot="1" x14ac:dyDescent="0.4">
      <c r="J34" s="54" t="s">
        <v>375</v>
      </c>
      <c r="K34" s="54">
        <v>1.1711126127478566</v>
      </c>
      <c r="L34" s="54">
        <v>0.44826784306190054</v>
      </c>
      <c r="M34" s="54">
        <v>2.6125287166452842</v>
      </c>
      <c r="N34" s="54">
        <v>2.5928035777809146E-2</v>
      </c>
      <c r="O34" s="54">
        <v>0.17230961552555013</v>
      </c>
      <c r="P34" s="54">
        <v>2.1699156099701629</v>
      </c>
      <c r="Q34" s="54">
        <v>0.17230961552555013</v>
      </c>
      <c r="R34" s="54">
        <v>2.1699156099701629</v>
      </c>
      <c r="T34" s="54" t="s">
        <v>375</v>
      </c>
      <c r="U34" s="54">
        <v>1.9191601807917871</v>
      </c>
      <c r="V34" s="54">
        <v>0.57864824972939266</v>
      </c>
      <c r="W34" s="54">
        <v>3.3166266063870244</v>
      </c>
      <c r="X34" s="54">
        <v>7.7916863329160098E-3</v>
      </c>
      <c r="Y34" s="54">
        <v>0.62985153393587101</v>
      </c>
      <c r="Z34" s="54">
        <v>3.2084688276477031</v>
      </c>
      <c r="AA34" s="54">
        <v>0.62985153393587101</v>
      </c>
      <c r="AB34" s="54">
        <v>3.2084688276477031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EE14-827C-4C50-B0F8-AFC2D1D86EC3}">
  <dimension ref="A1:I18"/>
  <sheetViews>
    <sheetView workbookViewId="0"/>
  </sheetViews>
  <sheetFormatPr defaultRowHeight="14.5" x14ac:dyDescent="0.35"/>
  <cols>
    <col min="1" max="1" width="17.6328125" customWidth="1"/>
  </cols>
  <sheetData>
    <row r="1" spans="1:9" x14ac:dyDescent="0.35">
      <c r="A1" s="10" t="s">
        <v>351</v>
      </c>
    </row>
    <row r="2" spans="1:9" ht="15" thickBot="1" x14ac:dyDescent="0.4"/>
    <row r="3" spans="1:9" x14ac:dyDescent="0.35">
      <c r="A3" s="56" t="s">
        <v>352</v>
      </c>
      <c r="B3" s="56"/>
    </row>
    <row r="4" spans="1:9" x14ac:dyDescent="0.35">
      <c r="A4" t="s">
        <v>353</v>
      </c>
      <c r="B4">
        <v>0.72374705316546928</v>
      </c>
    </row>
    <row r="5" spans="1:9" x14ac:dyDescent="0.35">
      <c r="A5" t="s">
        <v>354</v>
      </c>
      <c r="B5">
        <v>0.52380979696570062</v>
      </c>
    </row>
    <row r="6" spans="1:9" x14ac:dyDescent="0.35">
      <c r="A6" t="s">
        <v>355</v>
      </c>
      <c r="B6">
        <v>0.42380979696570059</v>
      </c>
    </row>
    <row r="7" spans="1:9" x14ac:dyDescent="0.35">
      <c r="A7" t="s">
        <v>356</v>
      </c>
      <c r="B7">
        <v>9.8589503957786151E-2</v>
      </c>
    </row>
    <row r="8" spans="1:9" ht="15" thickBot="1" x14ac:dyDescent="0.4">
      <c r="A8" s="54" t="s">
        <v>357</v>
      </c>
      <c r="B8" s="54">
        <v>11</v>
      </c>
    </row>
    <row r="10" spans="1:9" ht="15" thickBot="1" x14ac:dyDescent="0.4">
      <c r="A10" t="s">
        <v>358</v>
      </c>
    </row>
    <row r="11" spans="1:9" x14ac:dyDescent="0.35">
      <c r="A11" s="55"/>
      <c r="B11" s="55" t="s">
        <v>363</v>
      </c>
      <c r="C11" s="55" t="s">
        <v>364</v>
      </c>
      <c r="D11" s="55" t="s">
        <v>365</v>
      </c>
      <c r="E11" s="55" t="s">
        <v>366</v>
      </c>
      <c r="F11" s="55" t="s">
        <v>367</v>
      </c>
    </row>
    <row r="12" spans="1:9" x14ac:dyDescent="0.35">
      <c r="A12" t="s">
        <v>359</v>
      </c>
      <c r="B12">
        <v>1</v>
      </c>
      <c r="C12">
        <v>0.10691891028475274</v>
      </c>
      <c r="D12">
        <v>0.10691891028475274</v>
      </c>
      <c r="E12">
        <v>11.000012046194309</v>
      </c>
      <c r="F12">
        <v>8.9884914403894241E-3</v>
      </c>
    </row>
    <row r="13" spans="1:9" x14ac:dyDescent="0.35">
      <c r="A13" t="s">
        <v>360</v>
      </c>
      <c r="B13">
        <v>10</v>
      </c>
      <c r="C13">
        <v>9.7198902906423315E-2</v>
      </c>
      <c r="D13">
        <v>9.7198902906423315E-3</v>
      </c>
    </row>
    <row r="14" spans="1:9" ht="15" thickBot="1" x14ac:dyDescent="0.4">
      <c r="A14" s="54" t="s">
        <v>361</v>
      </c>
      <c r="B14" s="54">
        <v>11</v>
      </c>
      <c r="C14" s="54">
        <v>0.20411781319117606</v>
      </c>
      <c r="D14" s="54"/>
      <c r="E14" s="54"/>
      <c r="F14" s="54"/>
    </row>
    <row r="15" spans="1:9" ht="15" thickBot="1" x14ac:dyDescent="0.4"/>
    <row r="16" spans="1:9" x14ac:dyDescent="0.35">
      <c r="A16" s="55"/>
      <c r="B16" s="55" t="s">
        <v>368</v>
      </c>
      <c r="C16" s="55" t="s">
        <v>356</v>
      </c>
      <c r="D16" s="55" t="s">
        <v>369</v>
      </c>
      <c r="E16" s="55" t="s">
        <v>370</v>
      </c>
      <c r="F16" s="55" t="s">
        <v>371</v>
      </c>
      <c r="G16" s="55" t="s">
        <v>372</v>
      </c>
      <c r="H16" s="55" t="s">
        <v>373</v>
      </c>
      <c r="I16" s="55" t="s">
        <v>374</v>
      </c>
    </row>
    <row r="17" spans="1:9" x14ac:dyDescent="0.35">
      <c r="A17" t="s">
        <v>362</v>
      </c>
      <c r="B17">
        <v>0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</row>
    <row r="18" spans="1:9" ht="15" thickBot="1" x14ac:dyDescent="0.4">
      <c r="A18" s="54" t="s">
        <v>375</v>
      </c>
      <c r="B18" s="54">
        <v>1.9191601807917871</v>
      </c>
      <c r="C18" s="54">
        <v>0.57864824972939266</v>
      </c>
      <c r="D18" s="54">
        <v>3.3166266063870244</v>
      </c>
      <c r="E18" s="54">
        <v>7.7916863329160098E-3</v>
      </c>
      <c r="F18" s="54">
        <v>0.62985153393587101</v>
      </c>
      <c r="G18" s="54">
        <v>3.2084688276477031</v>
      </c>
      <c r="H18" s="54">
        <v>0.62985153393587101</v>
      </c>
      <c r="I18" s="54">
        <v>3.2084688276477031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5213-6803-4385-AE95-2EE91CBC6FED}">
  <dimension ref="A1:I18"/>
  <sheetViews>
    <sheetView workbookViewId="0"/>
  </sheetViews>
  <sheetFormatPr defaultRowHeight="14.5" x14ac:dyDescent="0.35"/>
  <cols>
    <col min="1" max="1" width="10.90625" customWidth="1"/>
  </cols>
  <sheetData>
    <row r="1" spans="1:9" x14ac:dyDescent="0.35">
      <c r="A1" s="10" t="s">
        <v>351</v>
      </c>
    </row>
    <row r="2" spans="1:9" ht="15" thickBot="1" x14ac:dyDescent="0.4"/>
    <row r="3" spans="1:9" x14ac:dyDescent="0.35">
      <c r="A3" s="56" t="s">
        <v>352</v>
      </c>
      <c r="B3" s="56"/>
    </row>
    <row r="4" spans="1:9" x14ac:dyDescent="0.35">
      <c r="A4" t="s">
        <v>353</v>
      </c>
      <c r="B4">
        <v>0.63691222272755144</v>
      </c>
    </row>
    <row r="5" spans="1:9" x14ac:dyDescent="0.35">
      <c r="A5" t="s">
        <v>354</v>
      </c>
      <c r="B5">
        <v>0.40565717945975005</v>
      </c>
    </row>
    <row r="6" spans="1:9" x14ac:dyDescent="0.35">
      <c r="A6" t="s">
        <v>355</v>
      </c>
      <c r="B6">
        <v>0.30565717945975007</v>
      </c>
    </row>
    <row r="7" spans="1:9" x14ac:dyDescent="0.35">
      <c r="A7" t="s">
        <v>356</v>
      </c>
      <c r="B7">
        <v>0.1101435231026098</v>
      </c>
    </row>
    <row r="8" spans="1:9" ht="15" thickBot="1" x14ac:dyDescent="0.4">
      <c r="A8" s="54" t="s">
        <v>357</v>
      </c>
      <c r="B8" s="54">
        <v>11</v>
      </c>
    </row>
    <row r="10" spans="1:9" ht="15" thickBot="1" x14ac:dyDescent="0.4">
      <c r="A10" t="s">
        <v>358</v>
      </c>
    </row>
    <row r="11" spans="1:9" x14ac:dyDescent="0.35">
      <c r="A11" s="55"/>
      <c r="B11" s="55" t="s">
        <v>363</v>
      </c>
      <c r="C11" s="55" t="s">
        <v>364</v>
      </c>
      <c r="D11" s="55" t="s">
        <v>365</v>
      </c>
      <c r="E11" s="55" t="s">
        <v>366</v>
      </c>
      <c r="F11" s="55" t="s">
        <v>367</v>
      </c>
    </row>
    <row r="12" spans="1:9" x14ac:dyDescent="0.35">
      <c r="A12" t="s">
        <v>359</v>
      </c>
      <c r="B12">
        <v>1</v>
      </c>
      <c r="C12">
        <v>8.2801856376624641E-2</v>
      </c>
      <c r="D12">
        <v>8.2801856376624641E-2</v>
      </c>
      <c r="E12">
        <v>6.8253062952962553</v>
      </c>
      <c r="F12">
        <v>2.8153763640812787E-2</v>
      </c>
    </row>
    <row r="13" spans="1:9" x14ac:dyDescent="0.35">
      <c r="A13" t="s">
        <v>360</v>
      </c>
      <c r="B13">
        <v>10</v>
      </c>
      <c r="C13">
        <v>0.12131595681455141</v>
      </c>
      <c r="D13">
        <v>1.2131595681455141E-2</v>
      </c>
    </row>
    <row r="14" spans="1:9" ht="15" thickBot="1" x14ac:dyDescent="0.4">
      <c r="A14" s="54" t="s">
        <v>361</v>
      </c>
      <c r="B14" s="54">
        <v>11</v>
      </c>
      <c r="C14" s="54">
        <v>0.20411781319117606</v>
      </c>
      <c r="D14" s="54"/>
      <c r="E14" s="54"/>
      <c r="F14" s="54"/>
    </row>
    <row r="15" spans="1:9" ht="15" thickBot="1" x14ac:dyDescent="0.4"/>
    <row r="16" spans="1:9" x14ac:dyDescent="0.35">
      <c r="A16" s="55"/>
      <c r="B16" s="55" t="s">
        <v>368</v>
      </c>
      <c r="C16" s="55" t="s">
        <v>356</v>
      </c>
      <c r="D16" s="55" t="s">
        <v>369</v>
      </c>
      <c r="E16" s="55" t="s">
        <v>370</v>
      </c>
      <c r="F16" s="55" t="s">
        <v>371</v>
      </c>
      <c r="G16" s="55" t="s">
        <v>372</v>
      </c>
      <c r="H16" s="55" t="s">
        <v>373</v>
      </c>
      <c r="I16" s="55" t="s">
        <v>374</v>
      </c>
    </row>
    <row r="17" spans="1:9" x14ac:dyDescent="0.35">
      <c r="A17" t="s">
        <v>362</v>
      </c>
      <c r="B17">
        <v>0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</row>
    <row r="18" spans="1:9" ht="15" thickBot="1" x14ac:dyDescent="0.4">
      <c r="A18" s="54" t="s">
        <v>375</v>
      </c>
      <c r="B18" s="54">
        <v>1.1711126127478566</v>
      </c>
      <c r="C18" s="54">
        <v>0.44826784306190054</v>
      </c>
      <c r="D18" s="54">
        <v>2.6125287166452842</v>
      </c>
      <c r="E18" s="54">
        <v>2.5928035777809146E-2</v>
      </c>
      <c r="F18" s="54">
        <v>0.17230961552555013</v>
      </c>
      <c r="G18" s="54">
        <v>2.1699156099701629</v>
      </c>
      <c r="H18" s="54">
        <v>0.17230961552555013</v>
      </c>
      <c r="I18" s="54">
        <v>2.1699156099701629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60DDE-2D88-4590-8F24-2AA468BAFA77}">
  <dimension ref="A1:M22"/>
  <sheetViews>
    <sheetView zoomScale="87" zoomScaleNormal="87" workbookViewId="0">
      <selection activeCell="G15" sqref="G15"/>
    </sheetView>
  </sheetViews>
  <sheetFormatPr defaultRowHeight="14.5" x14ac:dyDescent="0.35"/>
  <cols>
    <col min="1" max="1" width="28.81640625" bestFit="1" customWidth="1"/>
    <col min="2" max="2" width="10.36328125" bestFit="1" customWidth="1"/>
  </cols>
  <sheetData>
    <row r="1" spans="1:13" x14ac:dyDescent="0.35">
      <c r="A1" s="23" t="s">
        <v>179</v>
      </c>
      <c r="G1" s="63" t="s">
        <v>122</v>
      </c>
      <c r="H1" s="63"/>
      <c r="I1" s="63"/>
      <c r="J1" s="63"/>
      <c r="K1" s="63"/>
      <c r="L1" s="63"/>
      <c r="M1" s="63"/>
    </row>
    <row r="2" spans="1:13" x14ac:dyDescent="0.35">
      <c r="A2" s="7" t="s">
        <v>180</v>
      </c>
      <c r="G2" s="3">
        <v>1</v>
      </c>
      <c r="H2" s="3">
        <v>2</v>
      </c>
      <c r="I2" s="3">
        <v>3</v>
      </c>
      <c r="J2" s="3">
        <v>4</v>
      </c>
      <c r="K2" s="3">
        <v>5</v>
      </c>
      <c r="L2" s="3">
        <v>6</v>
      </c>
      <c r="M2" s="3">
        <v>7</v>
      </c>
    </row>
    <row r="3" spans="1:13" x14ac:dyDescent="0.35">
      <c r="A3" s="24" t="s">
        <v>146</v>
      </c>
      <c r="B3" s="19" t="s">
        <v>6</v>
      </c>
      <c r="C3" s="5" t="s">
        <v>5</v>
      </c>
      <c r="D3" s="5" t="s">
        <v>4</v>
      </c>
      <c r="E3" s="6">
        <v>45352</v>
      </c>
      <c r="F3" s="5" t="s">
        <v>2</v>
      </c>
      <c r="G3" s="6">
        <v>46082</v>
      </c>
      <c r="H3" s="6">
        <v>46447</v>
      </c>
      <c r="I3" s="6">
        <v>46813</v>
      </c>
      <c r="J3" s="6">
        <v>47178</v>
      </c>
      <c r="K3" s="6">
        <v>47543</v>
      </c>
      <c r="L3" s="6">
        <v>47908</v>
      </c>
      <c r="M3" s="6">
        <v>48274</v>
      </c>
    </row>
    <row r="5" spans="1:13" x14ac:dyDescent="0.35">
      <c r="A5" s="10" t="s">
        <v>139</v>
      </c>
      <c r="B5" s="16">
        <f>FCFF_Projections!B21</f>
        <v>15424.449999999995</v>
      </c>
      <c r="C5" s="16">
        <f>FCFF_Projections!C21</f>
        <v>18871.340000000026</v>
      </c>
      <c r="D5" s="16">
        <f>FCFF_Projections!D21</f>
        <v>41104.199999999983</v>
      </c>
      <c r="E5" s="16">
        <f>FCFF_Projections!E21</f>
        <v>34370.160000000018</v>
      </c>
      <c r="F5" s="16">
        <f>FCFF_Projections!F21</f>
        <v>23931.28428248359</v>
      </c>
      <c r="G5" s="16">
        <f>FCFF_Projections!G21</f>
        <v>30166.92408957619</v>
      </c>
      <c r="H5" s="16">
        <f>FCFF_Projections!H21</f>
        <v>31006.937685094388</v>
      </c>
      <c r="I5" s="16">
        <f>FCFF_Projections!I21</f>
        <v>32966.572318801082</v>
      </c>
      <c r="J5" s="16">
        <f>FCFF_Projections!J21</f>
        <v>31521.401720724694</v>
      </c>
      <c r="K5" s="16">
        <f>FCFF_Projections!K21</f>
        <v>31474.530264393637</v>
      </c>
      <c r="L5" s="16">
        <f>FCFF_Projections!L21</f>
        <v>32634.481347644811</v>
      </c>
      <c r="M5" s="16">
        <f>FCFF_Projections!M21</f>
        <v>17547.916679728431</v>
      </c>
    </row>
    <row r="8" spans="1:13" x14ac:dyDescent="0.35">
      <c r="A8" s="9" t="s">
        <v>181</v>
      </c>
      <c r="G8" s="16">
        <f>G5/(1+$B$13)^G2</f>
        <v>27093.295589304831</v>
      </c>
      <c r="H8" s="16">
        <f t="shared" ref="H8:M8" si="0">H5/(1+$B$13)^H2</f>
        <v>25010.39126537738</v>
      </c>
      <c r="I8" s="16">
        <f t="shared" si="0"/>
        <v>23881.753324219848</v>
      </c>
      <c r="J8" s="16">
        <f t="shared" si="0"/>
        <v>20508.256509185572</v>
      </c>
      <c r="K8" s="16">
        <f t="shared" si="0"/>
        <v>18391.336092671154</v>
      </c>
      <c r="L8" s="16">
        <f t="shared" si="0"/>
        <v>17126.220978065161</v>
      </c>
      <c r="M8" s="16">
        <f t="shared" si="0"/>
        <v>8270.6795983709962</v>
      </c>
    </row>
    <row r="11" spans="1:13" x14ac:dyDescent="0.35">
      <c r="A11" s="8" t="s">
        <v>182</v>
      </c>
      <c r="B11" s="16">
        <f>SUM(G8:M8)</f>
        <v>140281.93335719494</v>
      </c>
    </row>
    <row r="12" spans="1:13" x14ac:dyDescent="0.35">
      <c r="A12" s="8" t="s">
        <v>183</v>
      </c>
      <c r="B12" s="13">
        <v>0.05</v>
      </c>
    </row>
    <row r="13" spans="1:13" x14ac:dyDescent="0.35">
      <c r="A13" s="8" t="s">
        <v>175</v>
      </c>
      <c r="B13" s="15">
        <f>WACC!B17</f>
        <v>0.11344609186210218</v>
      </c>
    </row>
    <row r="14" spans="1:13" x14ac:dyDescent="0.35">
      <c r="A14" s="8" t="s">
        <v>184</v>
      </c>
      <c r="B14">
        <f>(M8*(1+B12))/(B13-B12)</f>
        <v>136875.46897552611</v>
      </c>
    </row>
    <row r="15" spans="1:13" x14ac:dyDescent="0.35">
      <c r="A15" s="8" t="s">
        <v>185</v>
      </c>
      <c r="B15">
        <f>B14/(1+B13)^7</f>
        <v>64512.111006379913</v>
      </c>
    </row>
    <row r="16" spans="1:13" x14ac:dyDescent="0.35">
      <c r="A16" s="9" t="s">
        <v>186</v>
      </c>
      <c r="B16" s="16">
        <f>B11+B15</f>
        <v>204794.04436357485</v>
      </c>
    </row>
    <row r="17" spans="1:2" x14ac:dyDescent="0.35">
      <c r="A17" s="11" t="s">
        <v>187</v>
      </c>
      <c r="B17">
        <f>'Balance_Sheet(5 years)'!F43</f>
        <v>6419.4</v>
      </c>
    </row>
    <row r="18" spans="1:2" x14ac:dyDescent="0.35">
      <c r="A18" s="11" t="s">
        <v>188</v>
      </c>
      <c r="B18" s="16">
        <f>'Balance_Sheet(5 years)'!F54</f>
        <v>130964.96</v>
      </c>
    </row>
    <row r="19" spans="1:2" x14ac:dyDescent="0.35">
      <c r="A19" s="11" t="s">
        <v>189</v>
      </c>
      <c r="B19">
        <v>0</v>
      </c>
    </row>
    <row r="20" spans="1:2" x14ac:dyDescent="0.35">
      <c r="A20" s="8" t="s">
        <v>190</v>
      </c>
      <c r="B20">
        <f>'Balance_Sheet(5 years)'!F7</f>
        <v>92215.65</v>
      </c>
    </row>
    <row r="21" spans="1:2" x14ac:dyDescent="0.35">
      <c r="A21" s="8" t="s">
        <v>192</v>
      </c>
      <c r="B21">
        <v>342</v>
      </c>
    </row>
    <row r="22" spans="1:2" x14ac:dyDescent="0.35">
      <c r="A22" s="25" t="s">
        <v>191</v>
      </c>
      <c r="B22" s="16">
        <f>B20/B21</f>
        <v>269.63640350877193</v>
      </c>
    </row>
  </sheetData>
  <mergeCells count="1">
    <mergeCell ref="G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75182-F5FB-4C84-BFD8-651EE6ADC290}">
  <dimension ref="A1:M29"/>
  <sheetViews>
    <sheetView zoomScale="83" zoomScaleNormal="83" workbookViewId="0">
      <selection activeCell="H20" sqref="H20"/>
    </sheetView>
  </sheetViews>
  <sheetFormatPr defaultRowHeight="14.5" x14ac:dyDescent="0.35"/>
  <cols>
    <col min="1" max="1" width="35.90625" bestFit="1" customWidth="1"/>
    <col min="2" max="5" width="9.453125" bestFit="1" customWidth="1"/>
    <col min="6" max="6" width="9.36328125" bestFit="1" customWidth="1"/>
    <col min="7" max="7" width="9.6328125" bestFit="1" customWidth="1"/>
    <col min="8" max="13" width="11.1796875" bestFit="1" customWidth="1"/>
  </cols>
  <sheetData>
    <row r="1" spans="1:13" x14ac:dyDescent="0.35">
      <c r="G1" s="63" t="s">
        <v>122</v>
      </c>
      <c r="H1" s="63"/>
      <c r="I1" s="63"/>
      <c r="J1" s="63"/>
      <c r="K1" s="63"/>
      <c r="L1" s="63"/>
      <c r="M1" s="63"/>
    </row>
    <row r="2" spans="1:13" x14ac:dyDescent="0.35">
      <c r="A2" s="4" t="s">
        <v>1</v>
      </c>
      <c r="B2" s="5" t="s">
        <v>6</v>
      </c>
      <c r="C2" s="5" t="s">
        <v>5</v>
      </c>
      <c r="D2" s="5" t="s">
        <v>4</v>
      </c>
      <c r="E2" s="6">
        <v>45352</v>
      </c>
      <c r="F2" s="5" t="s">
        <v>2</v>
      </c>
      <c r="G2" s="6">
        <v>46082</v>
      </c>
      <c r="H2" s="6">
        <v>46447</v>
      </c>
      <c r="I2" s="6">
        <v>46813</v>
      </c>
      <c r="J2" s="6">
        <v>47178</v>
      </c>
      <c r="K2" s="6">
        <v>47543</v>
      </c>
      <c r="L2" s="6">
        <v>47908</v>
      </c>
      <c r="M2" s="6">
        <v>48274</v>
      </c>
    </row>
    <row r="3" spans="1:13" x14ac:dyDescent="0.35">
      <c r="A3" s="7" t="s">
        <v>123</v>
      </c>
      <c r="B3" s="16">
        <f>'Income_Statement(5 years)'!B7</f>
        <v>37665.65</v>
      </c>
      <c r="C3" s="16">
        <f>'Income_Statement(5 years)'!C7</f>
        <v>39933.39</v>
      </c>
      <c r="D3" s="16">
        <f>'Income_Statement(5 years)'!D7</f>
        <v>42635.9</v>
      </c>
      <c r="E3" s="16">
        <f>'Income_Statement(5 years)'!E7</f>
        <v>42391.16</v>
      </c>
      <c r="F3" s="16">
        <f>'Income_Statement(5 years)'!F7</f>
        <v>41431.49</v>
      </c>
      <c r="G3" s="16">
        <f>F3*(1+G25)</f>
        <v>42462.138492025508</v>
      </c>
      <c r="H3" s="16">
        <f t="shared" ref="H3:L3" si="0">G3*(1+H25)</f>
        <v>43143.366403244698</v>
      </c>
      <c r="I3" s="16">
        <f t="shared" si="0"/>
        <v>43278.625976767471</v>
      </c>
      <c r="J3" s="16">
        <f t="shared" si="0"/>
        <v>43510.337861403663</v>
      </c>
      <c r="K3" s="16">
        <f t="shared" si="0"/>
        <v>44047.780048396577</v>
      </c>
      <c r="L3" s="16">
        <f t="shared" si="0"/>
        <v>44453.948116975189</v>
      </c>
      <c r="M3" s="16">
        <f>L3*(1+M25)</f>
        <v>44788.044117608712</v>
      </c>
    </row>
    <row r="4" spans="1:13" x14ac:dyDescent="0.35">
      <c r="A4" s="8" t="s">
        <v>124</v>
      </c>
      <c r="B4" s="16">
        <f>'Income_Statement(5 years)'!B10+'Income_Statement(5 years)'!B11+'Income_Statement(5 years)'!B12</f>
        <v>3405.0299999999997</v>
      </c>
      <c r="C4" s="16">
        <f>'Income_Statement(5 years)'!C10+'Income_Statement(5 years)'!C11+'Income_Statement(5 years)'!C12</f>
        <v>3695.4500000000003</v>
      </c>
      <c r="D4" s="16">
        <f>'Income_Statement(5 years)'!D10+'Income_Statement(5 years)'!D11+'Income_Statement(5 years)'!D12</f>
        <v>3707.0299999999997</v>
      </c>
      <c r="E4" s="16">
        <f>'Income_Statement(5 years)'!E10+'Income_Statement(5 years)'!E11+'Income_Statement(5 years)'!E12</f>
        <v>3867.0200000000004</v>
      </c>
      <c r="F4" s="16">
        <f>'Income_Statement(5 years)'!F10+'Income_Statement(5 years)'!F11+'Income_Statement(5 years)'!F12</f>
        <v>4314</v>
      </c>
      <c r="G4" s="16">
        <f>G3*G27</f>
        <v>3950.9665446362364</v>
      </c>
      <c r="H4" s="16">
        <f t="shared" ref="H4:M4" si="1">H3*H27</f>
        <v>4037.178435342591</v>
      </c>
      <c r="I4" s="16">
        <f t="shared" si="1"/>
        <v>4058.7986990851268</v>
      </c>
      <c r="J4" s="16">
        <f t="shared" si="1"/>
        <v>4140.023385404962</v>
      </c>
      <c r="K4" s="16">
        <f t="shared" si="1"/>
        <v>4225.7652847225045</v>
      </c>
      <c r="L4" s="16">
        <f t="shared" si="1"/>
        <v>4191.9357773999336</v>
      </c>
      <c r="M4" s="16">
        <f t="shared" si="1"/>
        <v>4234.6516623813868</v>
      </c>
    </row>
    <row r="5" spans="1:13" x14ac:dyDescent="0.35">
      <c r="A5" s="9" t="s">
        <v>125</v>
      </c>
      <c r="B5" s="16">
        <f>B3-B4</f>
        <v>34260.620000000003</v>
      </c>
      <c r="C5" s="16">
        <f t="shared" ref="C5:M5" si="2">C3-C4</f>
        <v>36237.94</v>
      </c>
      <c r="D5" s="16">
        <f t="shared" si="2"/>
        <v>38928.870000000003</v>
      </c>
      <c r="E5" s="16">
        <f t="shared" si="2"/>
        <v>38524.14</v>
      </c>
      <c r="F5" s="16">
        <f t="shared" si="2"/>
        <v>37117.49</v>
      </c>
      <c r="G5" s="16">
        <f t="shared" si="2"/>
        <v>38511.171947389274</v>
      </c>
      <c r="H5" s="16">
        <f t="shared" si="2"/>
        <v>39106.187967902108</v>
      </c>
      <c r="I5" s="16">
        <f t="shared" si="2"/>
        <v>39219.827277682343</v>
      </c>
      <c r="J5" s="16">
        <f t="shared" si="2"/>
        <v>39370.314475998704</v>
      </c>
      <c r="K5" s="16">
        <f t="shared" si="2"/>
        <v>39822.014763674073</v>
      </c>
      <c r="L5" s="16">
        <f t="shared" si="2"/>
        <v>40262.012339575253</v>
      </c>
      <c r="M5" s="16">
        <f t="shared" si="2"/>
        <v>40553.392455227324</v>
      </c>
    </row>
    <row r="6" spans="1:13" x14ac:dyDescent="0.35">
      <c r="A6" s="10" t="s">
        <v>91</v>
      </c>
    </row>
    <row r="7" spans="1:13" x14ac:dyDescent="0.35">
      <c r="A7" s="7" t="s">
        <v>126</v>
      </c>
      <c r="B7">
        <f>'Income_Statement(5 years)'!B13+'Income_Statement(5 years)'!B14</f>
        <v>751.13</v>
      </c>
      <c r="C7">
        <f>'Income_Statement(5 years)'!C13+'Income_Statement(5 years)'!C14</f>
        <v>839.27</v>
      </c>
      <c r="D7">
        <f>'Income_Statement(5 years)'!D13+'Income_Statement(5 years)'!D14</f>
        <v>864.20999999999992</v>
      </c>
      <c r="E7">
        <f>'Income_Statement(5 years)'!E13+'Income_Statement(5 years)'!E14</f>
        <v>945.15</v>
      </c>
      <c r="F7">
        <f>'Income_Statement(5 years)'!F13+'Income_Statement(5 years)'!F14</f>
        <v>989.86</v>
      </c>
      <c r="G7">
        <f>G3*G28</f>
        <v>912.22040824844532</v>
      </c>
      <c r="H7" s="16">
        <f t="shared" ref="H7:J7" si="3">H3*H28</f>
        <v>940.15302313059533</v>
      </c>
      <c r="I7" s="16">
        <f>I3*I28</f>
        <v>949.80542091353402</v>
      </c>
      <c r="J7" s="16">
        <f t="shared" si="3"/>
        <v>969.48187517244469</v>
      </c>
      <c r="K7" s="16">
        <f t="shared" ref="K7:L7" si="4">K3*K28</f>
        <v>981.33119072958425</v>
      </c>
      <c r="L7" s="16">
        <f t="shared" si="4"/>
        <v>976.04194288535564</v>
      </c>
      <c r="M7" s="16">
        <f>M3*M28</f>
        <v>987.61528870279756</v>
      </c>
    </row>
    <row r="8" spans="1:13" x14ac:dyDescent="0.35">
      <c r="A8" s="8" t="s">
        <v>127</v>
      </c>
      <c r="B8" s="16">
        <f>B7</f>
        <v>751.13</v>
      </c>
      <c r="C8" s="16">
        <f t="shared" ref="C8:L8" si="5">C7</f>
        <v>839.27</v>
      </c>
      <c r="D8" s="16">
        <f t="shared" si="5"/>
        <v>864.20999999999992</v>
      </c>
      <c r="E8" s="16">
        <f t="shared" si="5"/>
        <v>945.15</v>
      </c>
      <c r="F8" s="16">
        <f t="shared" si="5"/>
        <v>989.86</v>
      </c>
      <c r="G8" s="16">
        <f t="shared" si="5"/>
        <v>912.22040824844532</v>
      </c>
      <c r="H8" s="16">
        <f t="shared" si="5"/>
        <v>940.15302313059533</v>
      </c>
      <c r="I8" s="16">
        <f t="shared" si="5"/>
        <v>949.80542091353402</v>
      </c>
      <c r="J8" s="16">
        <f t="shared" si="5"/>
        <v>969.48187517244469</v>
      </c>
      <c r="K8" s="16">
        <f t="shared" si="5"/>
        <v>981.33119072958425</v>
      </c>
      <c r="L8" s="16">
        <f t="shared" si="5"/>
        <v>976.04194288535564</v>
      </c>
      <c r="M8" s="16">
        <f>M7</f>
        <v>987.61528870279756</v>
      </c>
    </row>
    <row r="9" spans="1:13" x14ac:dyDescent="0.35">
      <c r="A9" s="9" t="s">
        <v>128</v>
      </c>
      <c r="B9" s="16">
        <f>B5-B8</f>
        <v>33509.490000000005</v>
      </c>
      <c r="C9" s="16">
        <f t="shared" ref="C9:M9" si="6">C5-C8</f>
        <v>35398.670000000006</v>
      </c>
      <c r="D9" s="16">
        <f t="shared" si="6"/>
        <v>38064.660000000003</v>
      </c>
      <c r="E9" s="16">
        <f t="shared" si="6"/>
        <v>37578.99</v>
      </c>
      <c r="F9" s="16">
        <f t="shared" si="6"/>
        <v>36127.629999999997</v>
      </c>
      <c r="G9" s="16">
        <f t="shared" si="6"/>
        <v>37598.951539140828</v>
      </c>
      <c r="H9" s="16">
        <f t="shared" si="6"/>
        <v>38166.034944771513</v>
      </c>
      <c r="I9" s="16">
        <f t="shared" si="6"/>
        <v>38270.021856768806</v>
      </c>
      <c r="J9" s="16">
        <f t="shared" si="6"/>
        <v>38400.832600826259</v>
      </c>
      <c r="K9" s="16">
        <f t="shared" si="6"/>
        <v>38840.683572944487</v>
      </c>
      <c r="L9" s="16">
        <f t="shared" si="6"/>
        <v>39285.970396689896</v>
      </c>
      <c r="M9" s="16">
        <f t="shared" si="6"/>
        <v>39565.777166524524</v>
      </c>
    </row>
    <row r="10" spans="1:13" x14ac:dyDescent="0.35">
      <c r="A10" s="8" t="s">
        <v>129</v>
      </c>
      <c r="B10">
        <f>'Income_Statement(5 years)'!B23</f>
        <v>11711.68</v>
      </c>
      <c r="C10">
        <f>'Income_Statement(5 years)'!C23</f>
        <v>12550.58</v>
      </c>
      <c r="D10">
        <f>'Income_Statement(5 years)'!D23</f>
        <v>12858.52</v>
      </c>
      <c r="E10">
        <f>'Income_Statement(5 years)'!E23</f>
        <v>12558.19</v>
      </c>
      <c r="F10">
        <f>'Income_Statement(5 years)'!F23</f>
        <v>12352.23</v>
      </c>
      <c r="G10" s="16">
        <f>Fixed_Assets!G4</f>
        <v>10831.87499055602</v>
      </c>
      <c r="H10" s="16">
        <f>Fixed_Assets!H4</f>
        <v>10531.83335255489</v>
      </c>
      <c r="I10" s="16">
        <f>Fixed_Assets!I4</f>
        <v>10158.155721916541</v>
      </c>
      <c r="J10" s="16">
        <f>Fixed_Assets!J4</f>
        <v>9708.2724834805722</v>
      </c>
      <c r="K10" s="16">
        <f>Fixed_Assets!K4</f>
        <v>9237.0001779694758</v>
      </c>
      <c r="L10" s="16">
        <f>Fixed_Assets!L4</f>
        <v>8694.2006047965006</v>
      </c>
      <c r="M10" s="16">
        <f>Fixed_Assets!M4</f>
        <v>8321.7139302321102</v>
      </c>
    </row>
    <row r="11" spans="1:13" x14ac:dyDescent="0.35">
      <c r="A11" s="9" t="s">
        <v>130</v>
      </c>
      <c r="B11" s="16">
        <f>B9-B10</f>
        <v>21797.810000000005</v>
      </c>
      <c r="C11" s="16">
        <f t="shared" ref="C11:M11" si="7">C9-C10</f>
        <v>22848.090000000004</v>
      </c>
      <c r="D11" s="16">
        <f t="shared" si="7"/>
        <v>25206.140000000003</v>
      </c>
      <c r="E11" s="16">
        <f t="shared" si="7"/>
        <v>25020.799999999996</v>
      </c>
      <c r="F11" s="16">
        <f t="shared" si="7"/>
        <v>23775.399999999998</v>
      </c>
      <c r="G11" s="16">
        <f t="shared" si="7"/>
        <v>26767.07654858481</v>
      </c>
      <c r="H11" s="16">
        <f t="shared" si="7"/>
        <v>27634.201592216625</v>
      </c>
      <c r="I11" s="16">
        <f t="shared" si="7"/>
        <v>28111.866134852266</v>
      </c>
      <c r="J11" s="16">
        <f t="shared" si="7"/>
        <v>28692.560117345689</v>
      </c>
      <c r="K11" s="16">
        <f t="shared" si="7"/>
        <v>29603.683394975011</v>
      </c>
      <c r="L11" s="16">
        <f t="shared" si="7"/>
        <v>30591.769791893395</v>
      </c>
      <c r="M11" s="16">
        <f t="shared" si="7"/>
        <v>31244.063236292415</v>
      </c>
    </row>
    <row r="12" spans="1:13" x14ac:dyDescent="0.35">
      <c r="A12" s="8" t="s">
        <v>131</v>
      </c>
      <c r="B12">
        <f>'Income_Statement(5 years)'!B28</f>
        <v>3089.14</v>
      </c>
      <c r="C12">
        <f>'Income_Statement(5 years)'!C28</f>
        <v>2711.06</v>
      </c>
      <c r="D12">
        <f>'Income_Statement(5 years)'!D28</f>
        <v>2118.84</v>
      </c>
      <c r="E12">
        <f>'Income_Statement(5 years)'!E28</f>
        <v>2631.98</v>
      </c>
      <c r="F12">
        <f>'Income_Statement(5 years)'!F28</f>
        <v>3265.86</v>
      </c>
      <c r="G12" s="16">
        <f>G11*G29</f>
        <v>3142.3954538409635</v>
      </c>
      <c r="H12" s="16">
        <f t="shared" ref="H12:M12" si="8">H11*H29</f>
        <v>3109.7805746112949</v>
      </c>
      <c r="I12" s="16">
        <f t="shared" si="8"/>
        <v>3129.1131657048313</v>
      </c>
      <c r="J12" s="16">
        <f t="shared" si="8"/>
        <v>3350.1177696686455</v>
      </c>
      <c r="K12" s="16">
        <f t="shared" si="8"/>
        <v>3524.9874135022769</v>
      </c>
      <c r="L12" s="16">
        <f t="shared" si="8"/>
        <v>3530.7343249941696</v>
      </c>
      <c r="M12" s="16">
        <f t="shared" si="8"/>
        <v>3593.6253957152508</v>
      </c>
    </row>
    <row r="13" spans="1:13" x14ac:dyDescent="0.35">
      <c r="A13" s="9" t="s">
        <v>132</v>
      </c>
      <c r="B13" s="16">
        <f>B11-B12</f>
        <v>18708.670000000006</v>
      </c>
      <c r="C13" s="16">
        <f t="shared" ref="C13:M13" si="9">C11-C12</f>
        <v>20137.030000000002</v>
      </c>
      <c r="D13" s="16">
        <f t="shared" si="9"/>
        <v>23087.300000000003</v>
      </c>
      <c r="E13" s="16">
        <f t="shared" si="9"/>
        <v>22388.819999999996</v>
      </c>
      <c r="F13" s="16">
        <f t="shared" si="9"/>
        <v>20509.539999999997</v>
      </c>
      <c r="G13" s="16">
        <f t="shared" si="9"/>
        <v>23624.681094743846</v>
      </c>
      <c r="H13" s="16">
        <f t="shared" si="9"/>
        <v>24524.421017605331</v>
      </c>
      <c r="I13" s="16">
        <f t="shared" si="9"/>
        <v>24982.752969147434</v>
      </c>
      <c r="J13" s="16">
        <f t="shared" si="9"/>
        <v>25342.442347677043</v>
      </c>
      <c r="K13" s="16">
        <f t="shared" si="9"/>
        <v>26078.695981472734</v>
      </c>
      <c r="L13" s="16">
        <f t="shared" si="9"/>
        <v>27061.035466899226</v>
      </c>
      <c r="M13" s="16">
        <f t="shared" si="9"/>
        <v>27650.437840577164</v>
      </c>
    </row>
    <row r="14" spans="1:13" x14ac:dyDescent="0.35">
      <c r="A14" s="7" t="s">
        <v>133</v>
      </c>
      <c r="B14" s="16">
        <f>B10</f>
        <v>11711.68</v>
      </c>
      <c r="C14" s="16">
        <f t="shared" ref="C14:M14" si="10">C10</f>
        <v>12550.58</v>
      </c>
      <c r="D14" s="16">
        <f t="shared" si="10"/>
        <v>12858.52</v>
      </c>
      <c r="E14" s="16">
        <f t="shared" si="10"/>
        <v>12558.19</v>
      </c>
      <c r="F14" s="16">
        <f t="shared" si="10"/>
        <v>12352.23</v>
      </c>
      <c r="G14" s="16">
        <f t="shared" si="10"/>
        <v>10831.87499055602</v>
      </c>
      <c r="H14" s="16">
        <f t="shared" si="10"/>
        <v>10531.83335255489</v>
      </c>
      <c r="I14" s="16">
        <f t="shared" si="10"/>
        <v>10158.155721916541</v>
      </c>
      <c r="J14" s="16">
        <f t="shared" si="10"/>
        <v>9708.2724834805722</v>
      </c>
      <c r="K14" s="16">
        <f t="shared" si="10"/>
        <v>9237.0001779694758</v>
      </c>
      <c r="L14" s="16">
        <f t="shared" si="10"/>
        <v>8694.2006047965006</v>
      </c>
      <c r="M14" s="16">
        <f t="shared" si="10"/>
        <v>8321.7139302321102</v>
      </c>
    </row>
    <row r="15" spans="1:13" x14ac:dyDescent="0.35">
      <c r="A15" s="7" t="s">
        <v>134</v>
      </c>
      <c r="B15">
        <f>Fixed_Assets!B5</f>
        <v>14499.94000000001</v>
      </c>
      <c r="C15">
        <f>Fixed_Assets!C5</f>
        <v>5096.369999999979</v>
      </c>
      <c r="D15">
        <f>Fixed_Assets!D5</f>
        <v>3281.4800000000214</v>
      </c>
      <c r="E15">
        <f>Fixed_Assets!E5</f>
        <v>3492.5399999999772</v>
      </c>
      <c r="F15">
        <f>Fixed_Assets!F5</f>
        <v>5792.6429228342904</v>
      </c>
      <c r="G15" s="16">
        <f>Fixed_Assets!G5</f>
        <v>3918.5664596959527</v>
      </c>
      <c r="H15" s="16">
        <f>Fixed_Assets!H5</f>
        <v>3674.3786961804117</v>
      </c>
      <c r="I15" s="16">
        <f>Fixed_Assets!I5</f>
        <v>3733.4772146506048</v>
      </c>
      <c r="J15" s="16">
        <f>Fixed_Assets!J5</f>
        <v>3761.0227515901215</v>
      </c>
      <c r="K15" s="16">
        <f>Fixed_Assets!K5</f>
        <v>3341.005628457091</v>
      </c>
      <c r="L15" s="16">
        <f>Fixed_Assets!L5</f>
        <v>3206.4083997723515</v>
      </c>
      <c r="M15" s="16">
        <f>Fixed_Assets!M5</f>
        <v>3098.8475180012456</v>
      </c>
    </row>
    <row r="16" spans="1:13" x14ac:dyDescent="0.35">
      <c r="A16" s="7" t="s">
        <v>135</v>
      </c>
      <c r="B16" s="16">
        <f>C17-B17</f>
        <v>495.96000000000095</v>
      </c>
      <c r="C16" s="16">
        <f t="shared" ref="C16:M16" si="11">D17-C17</f>
        <v>8719.8999999999942</v>
      </c>
      <c r="D16" s="16">
        <f t="shared" si="11"/>
        <v>-8439.8599999999951</v>
      </c>
      <c r="E16" s="16">
        <f t="shared" si="11"/>
        <v>-2915.6900000000005</v>
      </c>
      <c r="F16" s="16">
        <f t="shared" si="11"/>
        <v>3137.8427946821157</v>
      </c>
      <c r="G16" s="16">
        <f t="shared" si="11"/>
        <v>371.06553602772146</v>
      </c>
      <c r="H16" s="16">
        <f t="shared" si="11"/>
        <v>374.93798888542187</v>
      </c>
      <c r="I16" s="16">
        <f t="shared" si="11"/>
        <v>-1559.1408423877092</v>
      </c>
      <c r="J16" s="16">
        <f t="shared" si="11"/>
        <v>-231.70964115719653</v>
      </c>
      <c r="K16" s="16">
        <f t="shared" si="11"/>
        <v>500.1602665914852</v>
      </c>
      <c r="L16" s="16">
        <f t="shared" si="11"/>
        <v>-85.653675721434411</v>
      </c>
      <c r="M16" s="16">
        <f t="shared" si="11"/>
        <v>15325.387573079595</v>
      </c>
    </row>
    <row r="17" spans="1:13" x14ac:dyDescent="0.35">
      <c r="A17" s="11" t="s">
        <v>136</v>
      </c>
      <c r="B17" s="16">
        <f>B18-B19</f>
        <v>-15693.199999999999</v>
      </c>
      <c r="C17" s="16">
        <f t="shared" ref="C17:L17" si="12">C18-C19</f>
        <v>-15197.239999999998</v>
      </c>
      <c r="D17" s="16">
        <f t="shared" si="12"/>
        <v>-6477.3400000000038</v>
      </c>
      <c r="E17" s="16">
        <f t="shared" si="12"/>
        <v>-14917.199999999999</v>
      </c>
      <c r="F17" s="16">
        <f t="shared" si="12"/>
        <v>-17832.89</v>
      </c>
      <c r="G17" s="16">
        <f t="shared" si="12"/>
        <v>-14695.047205317884</v>
      </c>
      <c r="H17" s="16">
        <f t="shared" si="12"/>
        <v>-14323.981669290162</v>
      </c>
      <c r="I17" s="16">
        <f t="shared" si="12"/>
        <v>-13949.04368040474</v>
      </c>
      <c r="J17" s="16">
        <f t="shared" si="12"/>
        <v>-15508.18452279245</v>
      </c>
      <c r="K17" s="16">
        <f t="shared" si="12"/>
        <v>-15739.894163949646</v>
      </c>
      <c r="L17" s="16">
        <f t="shared" si="12"/>
        <v>-15239.733897358161</v>
      </c>
      <c r="M17" s="16">
        <f>M18-M19</f>
        <v>-15325.387573079595</v>
      </c>
    </row>
    <row r="18" spans="1:13" x14ac:dyDescent="0.35">
      <c r="A18" s="11" t="s">
        <v>137</v>
      </c>
      <c r="B18" s="16">
        <f>NWC!B6</f>
        <v>10768.710000000001</v>
      </c>
      <c r="C18" s="16">
        <f>NWC!C6</f>
        <v>10849.82</v>
      </c>
      <c r="D18" s="16">
        <f>NWC!D6</f>
        <v>16380.309999999998</v>
      </c>
      <c r="E18" s="16">
        <f>NWC!E6</f>
        <v>12543.22</v>
      </c>
      <c r="F18" s="16">
        <f>NWC!F6</f>
        <v>9193.48</v>
      </c>
      <c r="G18" s="16">
        <f>NWC!G6</f>
        <v>12399.616132112404</v>
      </c>
      <c r="H18" s="16">
        <f>NWC!H6</f>
        <v>12650.081092957156</v>
      </c>
      <c r="I18" s="16">
        <f>NWC!I6</f>
        <v>12875.742586456096</v>
      </c>
      <c r="J18" s="16">
        <f>NWC!J6</f>
        <v>12189.383480006178</v>
      </c>
      <c r="K18" s="16">
        <f>NWC!K6</f>
        <v>12201.39969720823</v>
      </c>
      <c r="L18" s="16">
        <f>NWC!L6</f>
        <v>12801.949287206127</v>
      </c>
      <c r="M18" s="16">
        <f>NWC!M6</f>
        <v>12861.893412289595</v>
      </c>
    </row>
    <row r="19" spans="1:13" x14ac:dyDescent="0.35">
      <c r="A19" s="11" t="s">
        <v>138</v>
      </c>
      <c r="B19" s="16">
        <f>NWC!B10</f>
        <v>26461.91</v>
      </c>
      <c r="C19" s="16">
        <f>NWC!C10</f>
        <v>26047.059999999998</v>
      </c>
      <c r="D19" s="16">
        <f>NWC!D10</f>
        <v>22857.65</v>
      </c>
      <c r="E19" s="16">
        <f>NWC!E10</f>
        <v>27460.42</v>
      </c>
      <c r="F19" s="16">
        <f>NWC!F10</f>
        <v>27026.37</v>
      </c>
      <c r="G19" s="16">
        <f>NWC!G10</f>
        <v>27094.663337430287</v>
      </c>
      <c r="H19" s="16">
        <f>NWC!H10</f>
        <v>26974.062762247318</v>
      </c>
      <c r="I19" s="16">
        <f>NWC!I10</f>
        <v>26824.786266860836</v>
      </c>
      <c r="J19" s="16">
        <f>NWC!J10</f>
        <v>27697.568002798627</v>
      </c>
      <c r="K19" s="16">
        <f>NWC!K10</f>
        <v>27941.293861157876</v>
      </c>
      <c r="L19" s="16">
        <f>NWC!L10</f>
        <v>28041.683184564288</v>
      </c>
      <c r="M19" s="16">
        <f>NWC!M10</f>
        <v>28187.280985369191</v>
      </c>
    </row>
    <row r="20" spans="1:13" x14ac:dyDescent="0.35">
      <c r="A20" s="11"/>
    </row>
    <row r="21" spans="1:13" x14ac:dyDescent="0.35">
      <c r="A21" s="9" t="s">
        <v>139</v>
      </c>
      <c r="B21" s="16">
        <f>B13+B14-B15-B16</f>
        <v>15424.449999999995</v>
      </c>
      <c r="C21" s="16">
        <f t="shared" ref="C21:M21" si="13">C13+C14-C15-C16</f>
        <v>18871.340000000026</v>
      </c>
      <c r="D21" s="16">
        <f t="shared" si="13"/>
        <v>41104.199999999983</v>
      </c>
      <c r="E21" s="16">
        <f t="shared" si="13"/>
        <v>34370.160000000018</v>
      </c>
      <c r="F21" s="16">
        <f t="shared" si="13"/>
        <v>23931.28428248359</v>
      </c>
      <c r="G21" s="16">
        <f t="shared" si="13"/>
        <v>30166.92408957619</v>
      </c>
      <c r="H21" s="16">
        <f t="shared" si="13"/>
        <v>31006.937685094388</v>
      </c>
      <c r="I21" s="16">
        <f t="shared" si="13"/>
        <v>32966.572318801082</v>
      </c>
      <c r="J21" s="16">
        <f t="shared" si="13"/>
        <v>31521.401720724694</v>
      </c>
      <c r="K21" s="16">
        <f t="shared" si="13"/>
        <v>31474.530264393637</v>
      </c>
      <c r="L21" s="16">
        <f t="shared" si="13"/>
        <v>32634.481347644811</v>
      </c>
      <c r="M21" s="16">
        <f t="shared" si="13"/>
        <v>17547.916679728431</v>
      </c>
    </row>
    <row r="23" spans="1:13" x14ac:dyDescent="0.35">
      <c r="A23" s="12" t="s">
        <v>140</v>
      </c>
    </row>
    <row r="24" spans="1:13" x14ac:dyDescent="0.35">
      <c r="A24" s="8" t="str">
        <f t="shared" ref="A24" si="14">A2</f>
        <v>Particulars</v>
      </c>
    </row>
    <row r="25" spans="1:13" x14ac:dyDescent="0.35">
      <c r="A25" s="8" t="s">
        <v>141</v>
      </c>
      <c r="C25" s="14">
        <f>C3/B3-1</f>
        <v>6.0207111784875478E-2</v>
      </c>
      <c r="D25" s="14">
        <f t="shared" ref="D25:F25" si="15">D3/C3-1</f>
        <v>6.7675446537346362E-2</v>
      </c>
      <c r="E25" s="14">
        <f>E3/D3-1</f>
        <v>-5.740232996137018E-3</v>
      </c>
      <c r="F25" s="14">
        <f t="shared" si="15"/>
        <v>-2.2638446317581384E-2</v>
      </c>
      <c r="G25" s="15">
        <f>AVERAGE(C25:F25)</f>
        <v>2.4875969752125859E-2</v>
      </c>
      <c r="H25" s="15">
        <f t="shared" ref="H25:L25" si="16">AVERAGE(D25:G25)</f>
        <v>1.6043184243938455E-2</v>
      </c>
      <c r="I25" s="15">
        <f t="shared" si="16"/>
        <v>3.1351186705864779E-3</v>
      </c>
      <c r="J25" s="15">
        <f t="shared" si="16"/>
        <v>5.3539565872673519E-3</v>
      </c>
      <c r="K25" s="15">
        <f t="shared" si="16"/>
        <v>1.2352057313479537E-2</v>
      </c>
      <c r="L25" s="15">
        <f t="shared" si="16"/>
        <v>9.2210792038179556E-3</v>
      </c>
      <c r="M25" s="15">
        <f>AVERAGE(I25:L25)</f>
        <v>7.5155529437878309E-3</v>
      </c>
    </row>
    <row r="26" spans="1:13" x14ac:dyDescent="0.35">
      <c r="A26" s="8"/>
    </row>
    <row r="27" spans="1:13" x14ac:dyDescent="0.35">
      <c r="A27" s="8" t="s">
        <v>142</v>
      </c>
      <c r="B27" s="14">
        <f>B4/B3</f>
        <v>9.0401466588257456E-2</v>
      </c>
      <c r="C27" s="14">
        <f t="shared" ref="C27:F27" si="17">C4/C3</f>
        <v>9.2540352822537739E-2</v>
      </c>
      <c r="D27" s="14">
        <f t="shared" si="17"/>
        <v>8.6946211995055797E-2</v>
      </c>
      <c r="E27" s="14">
        <f t="shared" si="17"/>
        <v>9.1222320880108024E-2</v>
      </c>
      <c r="F27" s="14">
        <f t="shared" si="17"/>
        <v>0.10412369914767729</v>
      </c>
      <c r="G27" s="15">
        <f>AVERAGE(B27:F27)</f>
        <v>9.3046810286727261E-2</v>
      </c>
      <c r="H27" s="15">
        <f t="shared" ref="H27:M27" si="18">AVERAGE(C27:G27)</f>
        <v>9.3575879026421213E-2</v>
      </c>
      <c r="I27" s="15">
        <f t="shared" si="18"/>
        <v>9.3782984267197916E-2</v>
      </c>
      <c r="J27" s="15">
        <f t="shared" si="18"/>
        <v>9.5150338721626343E-2</v>
      </c>
      <c r="K27" s="15">
        <f t="shared" si="18"/>
        <v>9.5935942289930007E-2</v>
      </c>
      <c r="L27" s="15">
        <f t="shared" si="18"/>
        <v>9.4298390918380562E-2</v>
      </c>
      <c r="M27" s="15">
        <f t="shared" si="18"/>
        <v>9.4548707044711203E-2</v>
      </c>
    </row>
    <row r="28" spans="1:13" x14ac:dyDescent="0.35">
      <c r="A28" s="8" t="s">
        <v>143</v>
      </c>
      <c r="B28" s="14">
        <f>B7/B3</f>
        <v>1.9942042683452961E-2</v>
      </c>
      <c r="C28" s="14">
        <f t="shared" ref="C28:F28" si="19">C7/C3</f>
        <v>2.1016748139839867E-2</v>
      </c>
      <c r="D28" s="14">
        <f t="shared" si="19"/>
        <v>2.0269538112248128E-2</v>
      </c>
      <c r="E28" s="14">
        <f t="shared" si="19"/>
        <v>2.2295922074319265E-2</v>
      </c>
      <c r="F28" s="14">
        <f t="shared" si="19"/>
        <v>2.3891489299564174E-2</v>
      </c>
      <c r="G28" s="15">
        <f>AVERAGE(B28:F28)</f>
        <v>2.1483148061884883E-2</v>
      </c>
      <c r="H28" s="15">
        <f t="shared" ref="H28:M28" si="20">AVERAGE(C28:G28)</f>
        <v>2.1791369137571261E-2</v>
      </c>
      <c r="I28" s="15">
        <f t="shared" si="20"/>
        <v>2.1946293337117541E-2</v>
      </c>
      <c r="J28" s="15">
        <f t="shared" si="20"/>
        <v>2.2281644382091424E-2</v>
      </c>
      <c r="K28" s="15">
        <f t="shared" si="20"/>
        <v>2.2278788843645859E-2</v>
      </c>
      <c r="L28" s="15">
        <f t="shared" si="20"/>
        <v>2.1956248752462194E-2</v>
      </c>
      <c r="M28" s="15">
        <f t="shared" si="20"/>
        <v>2.2050868890577658E-2</v>
      </c>
    </row>
    <row r="29" spans="1:13" x14ac:dyDescent="0.35">
      <c r="A29" s="8" t="s">
        <v>144</v>
      </c>
      <c r="B29" s="14">
        <f>B12/B11</f>
        <v>0.14171790652363697</v>
      </c>
      <c r="C29" s="14">
        <f t="shared" ref="C29:F29" si="21">C12/C11</f>
        <v>0.11865587014056753</v>
      </c>
      <c r="D29" s="14">
        <f t="shared" si="21"/>
        <v>8.4060470980483318E-2</v>
      </c>
      <c r="E29" s="14">
        <f t="shared" si="21"/>
        <v>0.10519168052180587</v>
      </c>
      <c r="F29" s="14">
        <f t="shared" si="21"/>
        <v>0.13736298863531216</v>
      </c>
      <c r="G29" s="15">
        <f>AVERAGE(B29:F29)</f>
        <v>0.11739778336036118</v>
      </c>
      <c r="H29" s="15">
        <f t="shared" ref="H29:M29" si="22">AVERAGE(C29:G29)</f>
        <v>0.11253375872770602</v>
      </c>
      <c r="I29" s="15">
        <f t="shared" si="22"/>
        <v>0.1113093364451337</v>
      </c>
      <c r="J29" s="15">
        <f t="shared" si="22"/>
        <v>0.11675910953806379</v>
      </c>
      <c r="K29" s="15">
        <f t="shared" si="22"/>
        <v>0.11907259534131538</v>
      </c>
      <c r="L29" s="15">
        <f t="shared" si="22"/>
        <v>0.11541451668251601</v>
      </c>
      <c r="M29" s="15">
        <f t="shared" si="22"/>
        <v>0.11501786334694697</v>
      </c>
    </row>
  </sheetData>
  <mergeCells count="1">
    <mergeCell ref="G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03472-5B17-4784-B2C2-E7F5A679C36F}">
  <dimension ref="A1:H17"/>
  <sheetViews>
    <sheetView workbookViewId="0">
      <selection activeCell="E18" sqref="E18"/>
    </sheetView>
  </sheetViews>
  <sheetFormatPr defaultRowHeight="14.5" x14ac:dyDescent="0.35"/>
  <cols>
    <col min="1" max="1" width="31.08984375" bestFit="1" customWidth="1"/>
    <col min="2" max="2" width="21.08984375" bestFit="1" customWidth="1"/>
    <col min="7" max="7" width="11.7265625" bestFit="1" customWidth="1"/>
  </cols>
  <sheetData>
    <row r="1" spans="1:8" x14ac:dyDescent="0.35">
      <c r="A1" s="64" t="s">
        <v>162</v>
      </c>
      <c r="B1" s="64"/>
    </row>
    <row r="2" spans="1:8" x14ac:dyDescent="0.35">
      <c r="A2" s="8" t="s">
        <v>163</v>
      </c>
      <c r="B2">
        <f>'Balance_Sheet(5 years)'!F7</f>
        <v>92215.65</v>
      </c>
    </row>
    <row r="3" spans="1:8" x14ac:dyDescent="0.35">
      <c r="A3" s="8" t="s">
        <v>164</v>
      </c>
      <c r="B3">
        <f>'Balance_Sheet(5 years)'!F54</f>
        <v>130964.96</v>
      </c>
      <c r="G3" t="s">
        <v>178</v>
      </c>
    </row>
    <row r="4" spans="1:8" x14ac:dyDescent="0.35">
      <c r="A4" s="8"/>
      <c r="G4" t="s">
        <v>176</v>
      </c>
      <c r="H4">
        <v>1.02</v>
      </c>
    </row>
    <row r="5" spans="1:8" x14ac:dyDescent="0.35">
      <c r="A5" s="8" t="s">
        <v>165</v>
      </c>
      <c r="B5" s="14">
        <f>'Income_Statement(5 years)'!F21/B3</f>
        <v>7.2380581798368052E-2</v>
      </c>
      <c r="G5" t="s">
        <v>177</v>
      </c>
      <c r="H5">
        <v>1.03</v>
      </c>
    </row>
    <row r="6" spans="1:8" x14ac:dyDescent="0.35">
      <c r="A6" s="8" t="s">
        <v>166</v>
      </c>
      <c r="B6" s="13">
        <v>0.3</v>
      </c>
    </row>
    <row r="7" spans="1:8" x14ac:dyDescent="0.35">
      <c r="A7" s="8" t="s">
        <v>167</v>
      </c>
      <c r="B7" s="17">
        <f>B3/(B3+B2)</f>
        <v>0.58681155141568986</v>
      </c>
    </row>
    <row r="8" spans="1:8" x14ac:dyDescent="0.35">
      <c r="A8" s="9" t="s">
        <v>168</v>
      </c>
      <c r="B8" s="15">
        <f>B5*(1-B6)</f>
        <v>5.0666407258857633E-2</v>
      </c>
    </row>
    <row r="9" spans="1:8" x14ac:dyDescent="0.35">
      <c r="A9" s="9"/>
    </row>
    <row r="10" spans="1:8" x14ac:dyDescent="0.35">
      <c r="A10" s="8" t="s">
        <v>169</v>
      </c>
      <c r="B10" s="14">
        <v>6.9699999999999998E-2</v>
      </c>
    </row>
    <row r="11" spans="1:8" x14ac:dyDescent="0.35">
      <c r="A11" s="8" t="s">
        <v>170</v>
      </c>
      <c r="B11" s="13">
        <v>0.2</v>
      </c>
    </row>
    <row r="12" spans="1:8" x14ac:dyDescent="0.35">
      <c r="A12" s="8" t="s">
        <v>171</v>
      </c>
      <c r="B12" s="15">
        <f>B11-B10</f>
        <v>0.13030000000000003</v>
      </c>
    </row>
    <row r="13" spans="1:8" x14ac:dyDescent="0.35">
      <c r="A13" s="8" t="s">
        <v>172</v>
      </c>
      <c r="B13">
        <f>H4</f>
        <v>1.02</v>
      </c>
    </row>
    <row r="14" spans="1:8" x14ac:dyDescent="0.35">
      <c r="A14" s="8" t="s">
        <v>173</v>
      </c>
      <c r="B14" s="17">
        <f>B2/(B2+B3)</f>
        <v>0.41318844858431025</v>
      </c>
    </row>
    <row r="15" spans="1:8" x14ac:dyDescent="0.35">
      <c r="A15" s="9" t="s">
        <v>174</v>
      </c>
      <c r="B15" s="15">
        <f>B10+B13*(B12)</f>
        <v>0.20260600000000001</v>
      </c>
    </row>
    <row r="16" spans="1:8" x14ac:dyDescent="0.35">
      <c r="A16" s="8"/>
    </row>
    <row r="17" spans="1:2" x14ac:dyDescent="0.35">
      <c r="A17" s="22" t="s">
        <v>175</v>
      </c>
      <c r="B17" s="14">
        <f>(B7*B8)+(B14*B15)</f>
        <v>0.11344609186210218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A918B-C348-4D4C-A134-303D2AFC57B8}">
  <dimension ref="A1:M22"/>
  <sheetViews>
    <sheetView zoomScale="89" zoomScaleNormal="89" workbookViewId="0">
      <selection activeCell="N15" sqref="N15"/>
    </sheetView>
  </sheetViews>
  <sheetFormatPr defaultRowHeight="14.5" x14ac:dyDescent="0.35"/>
  <cols>
    <col min="1" max="1" width="36.54296875" bestFit="1" customWidth="1"/>
    <col min="6" max="6" width="8.81640625" bestFit="1" customWidth="1"/>
    <col min="7" max="13" width="9.54296875" bestFit="1" customWidth="1"/>
  </cols>
  <sheetData>
    <row r="1" spans="1:13" x14ac:dyDescent="0.35">
      <c r="A1" s="37" t="s">
        <v>153</v>
      </c>
      <c r="G1" s="65" t="s">
        <v>122</v>
      </c>
      <c r="H1" s="65"/>
      <c r="I1" s="65"/>
      <c r="J1" s="65"/>
      <c r="K1" s="65"/>
      <c r="L1" s="65"/>
      <c r="M1" s="65"/>
    </row>
    <row r="2" spans="1:13" x14ac:dyDescent="0.35">
      <c r="A2" s="21" t="s">
        <v>146</v>
      </c>
      <c r="B2" s="19" t="s">
        <v>6</v>
      </c>
      <c r="C2" s="5" t="s">
        <v>5</v>
      </c>
      <c r="D2" s="5" t="s">
        <v>4</v>
      </c>
      <c r="E2" s="6">
        <v>45352</v>
      </c>
      <c r="F2" s="5" t="s">
        <v>2</v>
      </c>
      <c r="G2" s="6">
        <v>46082</v>
      </c>
      <c r="H2" s="6">
        <v>46447</v>
      </c>
      <c r="I2" s="6">
        <v>46813</v>
      </c>
      <c r="J2" s="6">
        <v>47178</v>
      </c>
      <c r="K2" s="6">
        <v>47543</v>
      </c>
      <c r="L2" s="6">
        <v>47908</v>
      </c>
      <c r="M2" s="6">
        <v>48274</v>
      </c>
    </row>
    <row r="3" spans="1:13" x14ac:dyDescent="0.35">
      <c r="A3" s="7" t="s">
        <v>154</v>
      </c>
      <c r="B3">
        <f>'Balance_Sheet(5 years)'!B42</f>
        <v>8470.2000000000007</v>
      </c>
      <c r="C3">
        <f>'Balance_Sheet(5 years)'!C42</f>
        <v>8836.81</v>
      </c>
      <c r="D3">
        <f>'Balance_Sheet(5 years)'!D42</f>
        <v>14304.13</v>
      </c>
      <c r="E3">
        <f>'Balance_Sheet(5 years)'!E42</f>
        <v>10825.8</v>
      </c>
      <c r="F3">
        <f>'Balance_Sheet(5 years)'!F42</f>
        <v>7273.25</v>
      </c>
      <c r="G3">
        <f>G17*G14/365</f>
        <v>10297.832163401208</v>
      </c>
      <c r="H3">
        <f t="shared" ref="H3:M3" si="0">H17*H14/365</f>
        <v>10615.246339788078</v>
      </c>
      <c r="I3">
        <f t="shared" si="0"/>
        <v>10862.817057855105</v>
      </c>
      <c r="J3">
        <f t="shared" si="0"/>
        <v>10185.671429707068</v>
      </c>
      <c r="K3">
        <f t="shared" si="0"/>
        <v>10124.009412290281</v>
      </c>
      <c r="L3">
        <f t="shared" si="0"/>
        <v>10700.06864278363</v>
      </c>
      <c r="M3">
        <f t="shared" si="0"/>
        <v>10764.201469523839</v>
      </c>
    </row>
    <row r="4" spans="1:13" x14ac:dyDescent="0.35">
      <c r="A4" s="7" t="s">
        <v>155</v>
      </c>
      <c r="B4">
        <f>'Balance_Sheet(5 years)'!B41</f>
        <v>1362.82</v>
      </c>
      <c r="C4">
        <f>'Balance_Sheet(5 years)'!C41</f>
        <v>1352.6</v>
      </c>
      <c r="D4">
        <f>'Balance_Sheet(5 years)'!D41</f>
        <v>1323.55</v>
      </c>
      <c r="E4">
        <f>'Balance_Sheet(5 years)'!E41</f>
        <v>1303.73</v>
      </c>
      <c r="F4">
        <f>'Balance_Sheet(5 years)'!F41</f>
        <v>1377.82</v>
      </c>
      <c r="G4">
        <f>G18*G15/365</f>
        <v>1406.3994510112539</v>
      </c>
      <c r="H4">
        <f t="shared" ref="H4:M4" si="1">H18*H15/365</f>
        <v>1401.3393975332683</v>
      </c>
      <c r="I4">
        <f t="shared" si="1"/>
        <v>1393.494363815885</v>
      </c>
      <c r="J4">
        <f t="shared" si="1"/>
        <v>1410.0281654267005</v>
      </c>
      <c r="K4">
        <f t="shared" si="1"/>
        <v>1442.1411115730239</v>
      </c>
      <c r="L4">
        <f t="shared" si="1"/>
        <v>1448.9482597418387</v>
      </c>
      <c r="M4">
        <f t="shared" si="1"/>
        <v>1454.9794821228807</v>
      </c>
    </row>
    <row r="5" spans="1:13" x14ac:dyDescent="0.35">
      <c r="A5" s="7" t="s">
        <v>68</v>
      </c>
      <c r="B5">
        <f>'Balance_Sheet(5 years)'!B44</f>
        <v>935.69</v>
      </c>
      <c r="C5">
        <f>'Balance_Sheet(5 years)'!C44</f>
        <v>660.41</v>
      </c>
      <c r="D5">
        <f>'Balance_Sheet(5 years)'!D44</f>
        <v>752.63</v>
      </c>
      <c r="E5">
        <f>'Balance_Sheet(5 years)'!E44</f>
        <v>413.69</v>
      </c>
      <c r="F5">
        <f>'Balance_Sheet(5 years)'!F44</f>
        <v>542.41</v>
      </c>
      <c r="G5" s="16">
        <f>G21*G14</f>
        <v>695.38451769994231</v>
      </c>
      <c r="H5" s="16">
        <f t="shared" ref="H5:M5" si="2">H21*H14</f>
        <v>633.49535563580878</v>
      </c>
      <c r="I5" s="16">
        <f t="shared" si="2"/>
        <v>619.43116478510422</v>
      </c>
      <c r="J5" s="16">
        <f t="shared" si="2"/>
        <v>593.68388487241009</v>
      </c>
      <c r="K5" s="16">
        <f t="shared" si="2"/>
        <v>635.24917334492443</v>
      </c>
      <c r="L5" s="16">
        <f t="shared" si="2"/>
        <v>652.93238468065874</v>
      </c>
      <c r="M5" s="16">
        <f t="shared" si="2"/>
        <v>642.71246064287527</v>
      </c>
    </row>
    <row r="6" spans="1:13" x14ac:dyDescent="0.35">
      <c r="A6" s="9" t="s">
        <v>137</v>
      </c>
      <c r="B6">
        <f>SUM(B3:B5)</f>
        <v>10768.710000000001</v>
      </c>
      <c r="C6">
        <f t="shared" ref="C6:E6" si="3">SUM(C3:C5)</f>
        <v>10849.82</v>
      </c>
      <c r="D6">
        <f t="shared" si="3"/>
        <v>16380.309999999998</v>
      </c>
      <c r="E6">
        <f t="shared" si="3"/>
        <v>12543.22</v>
      </c>
      <c r="F6" s="16">
        <f>SUM(F3:F5)</f>
        <v>9193.48</v>
      </c>
      <c r="G6" s="16">
        <f t="shared" ref="G6:M6" si="4">SUM(G3:G5)</f>
        <v>12399.616132112404</v>
      </c>
      <c r="H6" s="16">
        <f t="shared" si="4"/>
        <v>12650.081092957156</v>
      </c>
      <c r="I6" s="16">
        <f t="shared" si="4"/>
        <v>12875.742586456096</v>
      </c>
      <c r="J6" s="16">
        <f t="shared" si="4"/>
        <v>12189.383480006178</v>
      </c>
      <c r="K6" s="16">
        <f t="shared" si="4"/>
        <v>12201.39969720823</v>
      </c>
      <c r="L6" s="16">
        <f t="shared" si="4"/>
        <v>12801.949287206127</v>
      </c>
      <c r="M6" s="16">
        <f t="shared" si="4"/>
        <v>12861.893412289595</v>
      </c>
    </row>
    <row r="8" spans="1:13" x14ac:dyDescent="0.35">
      <c r="A8" s="7" t="s">
        <v>156</v>
      </c>
      <c r="B8">
        <f>'Balance_Sheet(5 years)'!B17</f>
        <v>186.3</v>
      </c>
      <c r="C8">
        <f>'Balance_Sheet(5 years)'!C17</f>
        <v>266.14</v>
      </c>
      <c r="D8">
        <f>'Balance_Sheet(5 years)'!D17</f>
        <v>325.02</v>
      </c>
      <c r="E8">
        <f>'Balance_Sheet(5 years)'!E17</f>
        <v>354.07</v>
      </c>
      <c r="F8">
        <f>'Balance_Sheet(5 years)'!F17</f>
        <v>567.67999999999995</v>
      </c>
      <c r="G8" s="16">
        <f>G19*G15/365</f>
        <v>345.75679222942154</v>
      </c>
      <c r="H8" s="16">
        <f t="shared" ref="H8:M8" si="5">H19*H15/365</f>
        <v>379.78426611313711</v>
      </c>
      <c r="I8" s="16">
        <f t="shared" si="5"/>
        <v>399.72019487279118</v>
      </c>
      <c r="J8" s="16">
        <f t="shared" si="5"/>
        <v>416.66659273474482</v>
      </c>
      <c r="K8" s="16">
        <f t="shared" si="5"/>
        <v>432.97170433889784</v>
      </c>
      <c r="L8" s="16">
        <f t="shared" si="5"/>
        <v>405.08313200640424</v>
      </c>
      <c r="M8" s="16">
        <f t="shared" si="5"/>
        <v>416.93659574187916</v>
      </c>
    </row>
    <row r="9" spans="1:13" x14ac:dyDescent="0.35">
      <c r="A9" s="7" t="s">
        <v>42</v>
      </c>
      <c r="B9">
        <f>'Balance_Sheet(5 years)'!B18</f>
        <v>26275.61</v>
      </c>
      <c r="C9">
        <f>'Balance_Sheet(5 years)'!C18</f>
        <v>25780.92</v>
      </c>
      <c r="D9">
        <f>'Balance_Sheet(5 years)'!D18</f>
        <v>22532.63</v>
      </c>
      <c r="E9">
        <f>'Balance_Sheet(5 years)'!E18</f>
        <v>27106.35</v>
      </c>
      <c r="F9">
        <f>'Balance_Sheet(5 years)'!F18</f>
        <v>26458.69</v>
      </c>
      <c r="G9">
        <f>G22*G14</f>
        <v>26748.906545200865</v>
      </c>
      <c r="H9">
        <f>H22*H14</f>
        <v>26594.278496134182</v>
      </c>
      <c r="I9">
        <f>I22*I14</f>
        <v>26425.066071988043</v>
      </c>
      <c r="J9">
        <f t="shared" ref="J9:M9" si="6">J22*J14</f>
        <v>27280.901410063881</v>
      </c>
      <c r="K9">
        <f t="shared" si="6"/>
        <v>27508.322156818977</v>
      </c>
      <c r="L9">
        <f t="shared" si="6"/>
        <v>27636.600052557886</v>
      </c>
      <c r="M9">
        <f t="shared" si="6"/>
        <v>27770.344389627313</v>
      </c>
    </row>
    <row r="10" spans="1:13" x14ac:dyDescent="0.35">
      <c r="A10" s="9" t="s">
        <v>40</v>
      </c>
      <c r="B10" s="16">
        <f>SUM(B8:B9)</f>
        <v>26461.91</v>
      </c>
      <c r="C10" s="16">
        <f t="shared" ref="C10:M10" si="7">SUM(C8:C9)</f>
        <v>26047.059999999998</v>
      </c>
      <c r="D10" s="16">
        <f t="shared" si="7"/>
        <v>22857.65</v>
      </c>
      <c r="E10" s="16">
        <f t="shared" si="7"/>
        <v>27460.42</v>
      </c>
      <c r="F10" s="16">
        <f t="shared" si="7"/>
        <v>27026.37</v>
      </c>
      <c r="G10" s="16">
        <f t="shared" si="7"/>
        <v>27094.663337430287</v>
      </c>
      <c r="H10" s="16">
        <f t="shared" si="7"/>
        <v>26974.062762247318</v>
      </c>
      <c r="I10" s="16">
        <f t="shared" si="7"/>
        <v>26824.786266860836</v>
      </c>
      <c r="J10" s="16">
        <f t="shared" si="7"/>
        <v>27697.568002798627</v>
      </c>
      <c r="K10" s="16">
        <f t="shared" si="7"/>
        <v>27941.293861157876</v>
      </c>
      <c r="L10" s="16">
        <f t="shared" si="7"/>
        <v>28041.683184564288</v>
      </c>
      <c r="M10" s="16">
        <f t="shared" si="7"/>
        <v>28187.280985369191</v>
      </c>
    </row>
    <row r="12" spans="1:13" x14ac:dyDescent="0.35">
      <c r="A12" s="36" t="s">
        <v>140</v>
      </c>
    </row>
    <row r="13" spans="1:13" x14ac:dyDescent="0.35">
      <c r="A13" s="21" t="s">
        <v>146</v>
      </c>
      <c r="B13" s="19" t="s">
        <v>6</v>
      </c>
      <c r="C13" s="5" t="s">
        <v>5</v>
      </c>
      <c r="D13" s="5" t="s">
        <v>4</v>
      </c>
      <c r="E13" s="6">
        <v>45352</v>
      </c>
      <c r="F13" s="5" t="s">
        <v>2</v>
      </c>
      <c r="G13" s="6">
        <v>46082</v>
      </c>
      <c r="H13" s="6">
        <v>46447</v>
      </c>
      <c r="I13" s="6">
        <v>46813</v>
      </c>
      <c r="J13" s="6">
        <v>47178</v>
      </c>
      <c r="K13" s="6">
        <v>47543</v>
      </c>
      <c r="L13" s="6">
        <v>47908</v>
      </c>
      <c r="M13" s="6">
        <v>48274</v>
      </c>
    </row>
    <row r="14" spans="1:13" x14ac:dyDescent="0.35">
      <c r="A14" s="8" t="s">
        <v>123</v>
      </c>
      <c r="B14" s="16">
        <f>FCFF_Projections!B3</f>
        <v>37665.65</v>
      </c>
      <c r="C14" s="16">
        <f>FCFF_Projections!C3</f>
        <v>39933.39</v>
      </c>
      <c r="D14" s="16">
        <f>FCFF_Projections!D3</f>
        <v>42635.9</v>
      </c>
      <c r="E14" s="16">
        <f>FCFF_Projections!E3</f>
        <v>42391.16</v>
      </c>
      <c r="F14" s="16">
        <f>FCFF_Projections!F3</f>
        <v>41431.49</v>
      </c>
      <c r="G14" s="16">
        <f>FCFF_Projections!G3</f>
        <v>42462.138492025508</v>
      </c>
      <c r="H14" s="16">
        <f>FCFF_Projections!H3</f>
        <v>43143.366403244698</v>
      </c>
      <c r="I14" s="16">
        <f>FCFF_Projections!I3</f>
        <v>43278.625976767471</v>
      </c>
      <c r="J14" s="16">
        <f>FCFF_Projections!J3</f>
        <v>43510.337861403663</v>
      </c>
      <c r="K14" s="16">
        <f>FCFF_Projections!K3</f>
        <v>44047.780048396577</v>
      </c>
      <c r="L14" s="16">
        <f>FCFF_Projections!L3</f>
        <v>44453.948116975189</v>
      </c>
      <c r="M14" s="16">
        <f>FCFF_Projections!M3</f>
        <v>44788.044117608712</v>
      </c>
    </row>
    <row r="15" spans="1:13" x14ac:dyDescent="0.35">
      <c r="A15" s="8" t="s">
        <v>124</v>
      </c>
      <c r="B15" s="16">
        <f>FCFF_Projections!B4</f>
        <v>3405.0299999999997</v>
      </c>
      <c r="C15" s="16">
        <f>FCFF_Projections!C4</f>
        <v>3695.4500000000003</v>
      </c>
      <c r="D15" s="16">
        <f>FCFF_Projections!D4</f>
        <v>3707.0299999999997</v>
      </c>
      <c r="E15" s="16">
        <f>FCFF_Projections!E4</f>
        <v>3867.0200000000004</v>
      </c>
      <c r="F15" s="16">
        <f>FCFF_Projections!F4</f>
        <v>4314</v>
      </c>
      <c r="G15" s="16">
        <f>FCFF_Projections!G4</f>
        <v>3950.9665446362364</v>
      </c>
      <c r="H15" s="16">
        <f>FCFF_Projections!H4</f>
        <v>4037.178435342591</v>
      </c>
      <c r="I15" s="16">
        <f>FCFF_Projections!I4</f>
        <v>4058.7986990851268</v>
      </c>
      <c r="J15" s="16">
        <f>FCFF_Projections!J4</f>
        <v>4140.023385404962</v>
      </c>
      <c r="K15" s="16">
        <f>FCFF_Projections!K4</f>
        <v>4225.7652847225045</v>
      </c>
      <c r="L15" s="16">
        <f>FCFF_Projections!L4</f>
        <v>4191.9357773999336</v>
      </c>
      <c r="M15" s="16">
        <f>FCFF_Projections!M4</f>
        <v>4234.6516623813868</v>
      </c>
    </row>
    <row r="16" spans="1:13" x14ac:dyDescent="0.35">
      <c r="A16" s="8"/>
    </row>
    <row r="17" spans="1:13" x14ac:dyDescent="0.35">
      <c r="A17" s="8" t="s">
        <v>157</v>
      </c>
      <c r="B17" s="16">
        <f>(B3/B14)*365</f>
        <v>82.080702178244636</v>
      </c>
      <c r="C17" s="16">
        <f t="shared" ref="C17:F17" si="8">(C3/C14)*365</f>
        <v>80.770394148856383</v>
      </c>
      <c r="D17" s="16">
        <f t="shared" si="8"/>
        <v>122.45566412342649</v>
      </c>
      <c r="E17" s="16">
        <f t="shared" si="8"/>
        <v>93.213231249156649</v>
      </c>
      <c r="F17" s="16">
        <f t="shared" si="8"/>
        <v>64.075326520962676</v>
      </c>
      <c r="G17" s="16">
        <f>AVERAGE(B17:F17)</f>
        <v>88.519063644129361</v>
      </c>
      <c r="H17" s="16">
        <f t="shared" ref="H17:M17" si="9">AVERAGE(C17:G17)</f>
        <v>89.8067359373063</v>
      </c>
      <c r="I17" s="16">
        <f t="shared" si="9"/>
        <v>91.614004294996306</v>
      </c>
      <c r="J17" s="16">
        <f t="shared" si="9"/>
        <v>85.44567232931027</v>
      </c>
      <c r="K17" s="16">
        <f t="shared" si="9"/>
        <v>83.892160545340971</v>
      </c>
      <c r="L17" s="16">
        <f t="shared" si="9"/>
        <v>87.855527350216633</v>
      </c>
      <c r="M17" s="16">
        <f t="shared" si="9"/>
        <v>87.722820091434087</v>
      </c>
    </row>
    <row r="18" spans="1:13" x14ac:dyDescent="0.35">
      <c r="A18" s="8" t="s">
        <v>158</v>
      </c>
      <c r="B18" s="16">
        <f>B4/B15*365</f>
        <v>146.08661304012006</v>
      </c>
      <c r="C18" s="16">
        <f t="shared" ref="C18:D18" si="10">C4/C15*365</f>
        <v>133.59644968812998</v>
      </c>
      <c r="D18" s="16">
        <f t="shared" si="10"/>
        <v>130.31881317388854</v>
      </c>
      <c r="E18" s="16">
        <f>E4/E15*365</f>
        <v>123.05637157294245</v>
      </c>
      <c r="F18" s="16">
        <f>F4/F15*365</f>
        <v>116.57494204914232</v>
      </c>
      <c r="G18" s="16">
        <f>AVERAGE(B18:F18)</f>
        <v>129.92663790484468</v>
      </c>
      <c r="H18" s="16">
        <f t="shared" ref="H18:M19" si="11">AVERAGE(C18:G18)</f>
        <v>126.6946428777896</v>
      </c>
      <c r="I18" s="16">
        <f t="shared" si="11"/>
        <v>125.31428151572155</v>
      </c>
      <c r="J18" s="16">
        <f t="shared" si="11"/>
        <v>124.31337518408812</v>
      </c>
      <c r="K18" s="16">
        <f t="shared" si="11"/>
        <v>124.56477590631725</v>
      </c>
      <c r="L18" s="16">
        <f t="shared" si="11"/>
        <v>126.16274267775225</v>
      </c>
      <c r="M18" s="16">
        <f t="shared" si="11"/>
        <v>125.40996363233376</v>
      </c>
    </row>
    <row r="19" spans="1:13" x14ac:dyDescent="0.35">
      <c r="A19" s="8" t="s">
        <v>159</v>
      </c>
      <c r="B19" s="16">
        <f>B8/B15*365</f>
        <v>19.970308631642016</v>
      </c>
      <c r="C19" s="16">
        <f t="shared" ref="C19:F19" si="12">C8/C15*365</f>
        <v>26.286676859381128</v>
      </c>
      <c r="D19" s="16">
        <f t="shared" si="12"/>
        <v>32.001980021742476</v>
      </c>
      <c r="E19" s="16">
        <f t="shared" si="12"/>
        <v>33.419933178519891</v>
      </c>
      <c r="F19" s="16">
        <f t="shared" si="12"/>
        <v>48.030412610106623</v>
      </c>
      <c r="G19" s="16">
        <f>AVERAGE(B19:F19)</f>
        <v>31.94186226027843</v>
      </c>
      <c r="H19" s="16">
        <f t="shared" ref="H19:J19" si="13">AVERAGE(C19:G19)</f>
        <v>34.336172986005707</v>
      </c>
      <c r="I19" s="16">
        <f t="shared" si="13"/>
        <v>35.946072211330623</v>
      </c>
      <c r="J19" s="16">
        <f t="shared" si="13"/>
        <v>36.734890649248257</v>
      </c>
      <c r="K19" s="16">
        <f t="shared" si="11"/>
        <v>37.397882143393929</v>
      </c>
      <c r="L19" s="16">
        <f t="shared" si="11"/>
        <v>35.271376050051387</v>
      </c>
      <c r="M19" s="16">
        <f t="shared" si="11"/>
        <v>35.937278808005978</v>
      </c>
    </row>
    <row r="20" spans="1:13" x14ac:dyDescent="0.35">
      <c r="A20" s="8"/>
    </row>
    <row r="21" spans="1:13" x14ac:dyDescent="0.35">
      <c r="A21" s="8" t="s">
        <v>160</v>
      </c>
      <c r="B21" s="14">
        <f>B5/B14</f>
        <v>2.4841997947732217E-2</v>
      </c>
      <c r="C21" s="14">
        <f t="shared" ref="C21:F21" si="14">C5/C14</f>
        <v>1.6537789554054889E-2</v>
      </c>
      <c r="D21" s="14">
        <f t="shared" si="14"/>
        <v>1.7652494728620717E-2</v>
      </c>
      <c r="E21" s="14">
        <f t="shared" si="14"/>
        <v>9.7588742558590031E-3</v>
      </c>
      <c r="F21" s="14">
        <f t="shared" si="14"/>
        <v>1.3091732882404181E-2</v>
      </c>
      <c r="G21" s="15">
        <f>AVERAGE(B21:F21)</f>
        <v>1.6376577873734203E-2</v>
      </c>
      <c r="H21" s="15">
        <f t="shared" ref="H21:M21" si="15">AVERAGE(C21:G21)</f>
        <v>1.4683493858934599E-2</v>
      </c>
      <c r="I21" s="15">
        <f t="shared" si="15"/>
        <v>1.4312634719910539E-2</v>
      </c>
      <c r="J21" s="15">
        <f t="shared" si="15"/>
        <v>1.3644662718168504E-2</v>
      </c>
      <c r="K21" s="15">
        <f t="shared" si="15"/>
        <v>1.4421820410630403E-2</v>
      </c>
      <c r="L21" s="15">
        <f t="shared" si="15"/>
        <v>1.4687837916275651E-2</v>
      </c>
      <c r="M21" s="15">
        <f t="shared" si="15"/>
        <v>1.4350089924783937E-2</v>
      </c>
    </row>
    <row r="22" spans="1:13" x14ac:dyDescent="0.35">
      <c r="A22" s="8" t="s">
        <v>161</v>
      </c>
      <c r="B22" s="14">
        <f>B9/B14</f>
        <v>0.6976013954358945</v>
      </c>
      <c r="C22" s="14">
        <f t="shared" ref="C22:F22" si="16">C9/C14</f>
        <v>0.64559808220639414</v>
      </c>
      <c r="D22" s="14">
        <f t="shared" si="16"/>
        <v>0.52848960617695417</v>
      </c>
      <c r="E22" s="14">
        <f t="shared" si="16"/>
        <v>0.63943402350867484</v>
      </c>
      <c r="F22" s="14">
        <f t="shared" si="16"/>
        <v>0.63861304529477458</v>
      </c>
      <c r="G22" s="15">
        <f>AVERAGE(B22:F22)</f>
        <v>0.62994723052453838</v>
      </c>
      <c r="H22" s="15">
        <f t="shared" ref="H22:M22" si="17">AVERAGE(C22:G22)</f>
        <v>0.61641639754226729</v>
      </c>
      <c r="I22" s="15">
        <f t="shared" si="17"/>
        <v>0.61058006060944181</v>
      </c>
      <c r="J22" s="15">
        <f t="shared" si="17"/>
        <v>0.6269981514959394</v>
      </c>
      <c r="K22" s="15">
        <f t="shared" si="17"/>
        <v>0.62451097709339232</v>
      </c>
      <c r="L22" s="15">
        <f t="shared" si="17"/>
        <v>0.62169056345311591</v>
      </c>
      <c r="M22" s="15">
        <f t="shared" si="17"/>
        <v>0.62003923003883132</v>
      </c>
    </row>
  </sheetData>
  <mergeCells count="1">
    <mergeCell ref="G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DF3C3-8EF9-42A7-A0BC-ED8F0EFC8139}">
  <dimension ref="A1:M11"/>
  <sheetViews>
    <sheetView zoomScale="89" zoomScaleNormal="89" workbookViewId="0">
      <selection activeCell="A4" sqref="A4"/>
    </sheetView>
  </sheetViews>
  <sheetFormatPr defaultRowHeight="14.5" x14ac:dyDescent="0.35"/>
  <cols>
    <col min="1" max="1" width="27.453125" bestFit="1" customWidth="1"/>
  </cols>
  <sheetData>
    <row r="1" spans="1:13" x14ac:dyDescent="0.35">
      <c r="A1" s="18" t="s">
        <v>145</v>
      </c>
      <c r="G1" s="66" t="s">
        <v>122</v>
      </c>
      <c r="H1" s="66"/>
      <c r="I1" s="66"/>
      <c r="J1" s="66"/>
      <c r="K1" s="66"/>
      <c r="L1" s="66"/>
      <c r="M1" s="66"/>
    </row>
    <row r="2" spans="1:13" x14ac:dyDescent="0.35">
      <c r="A2" s="8" t="s">
        <v>146</v>
      </c>
      <c r="B2" s="19" t="s">
        <v>6</v>
      </c>
      <c r="C2" s="5" t="s">
        <v>5</v>
      </c>
      <c r="D2" s="5" t="s">
        <v>4</v>
      </c>
      <c r="E2" s="6">
        <v>45352</v>
      </c>
      <c r="F2" s="5" t="s">
        <v>2</v>
      </c>
      <c r="G2" s="6">
        <v>46082</v>
      </c>
      <c r="H2" s="6">
        <v>46447</v>
      </c>
      <c r="I2" s="6">
        <v>46813</v>
      </c>
      <c r="J2" s="6">
        <v>47178</v>
      </c>
      <c r="K2" s="6">
        <v>47543</v>
      </c>
      <c r="L2" s="6">
        <v>47908</v>
      </c>
      <c r="M2" s="6">
        <v>48274</v>
      </c>
    </row>
    <row r="3" spans="1:13" x14ac:dyDescent="0.35">
      <c r="A3" s="7" t="s">
        <v>147</v>
      </c>
      <c r="B3">
        <f>'Balance_Sheet(5 years)'!B29</f>
        <v>176943.5</v>
      </c>
      <c r="C3">
        <f>'Balance_Sheet(5 years)'!C29</f>
        <v>179731.76</v>
      </c>
      <c r="D3">
        <f>'Balance_Sheet(5 years)'!D29</f>
        <v>172277.55</v>
      </c>
      <c r="E3">
        <f>'Balance_Sheet(5 years)'!E29</f>
        <v>162700.51</v>
      </c>
      <c r="F3">
        <f>'Balance_Sheet(5 years)'!F29</f>
        <v>153634.85999999999</v>
      </c>
      <c r="G3">
        <f>F3-F4+F5</f>
        <v>147075.27292283427</v>
      </c>
      <c r="H3">
        <f t="shared" ref="H3:L3" si="0">G3-G4+G5</f>
        <v>140161.96439197421</v>
      </c>
      <c r="I3">
        <f t="shared" si="0"/>
        <v>133304.50973559971</v>
      </c>
      <c r="J3">
        <f t="shared" si="0"/>
        <v>126879.83122833377</v>
      </c>
      <c r="K3">
        <f t="shared" si="0"/>
        <v>120932.58149644332</v>
      </c>
      <c r="L3">
        <f t="shared" si="0"/>
        <v>115036.58694693094</v>
      </c>
      <c r="M3">
        <f>L3-L4+L5</f>
        <v>109548.79474190679</v>
      </c>
    </row>
    <row r="4" spans="1:13" x14ac:dyDescent="0.35">
      <c r="A4" s="7" t="s">
        <v>148</v>
      </c>
      <c r="B4">
        <f>'Income_Statement(5 years)'!B23</f>
        <v>11711.68</v>
      </c>
      <c r="C4">
        <f>'Income_Statement(5 years)'!C23</f>
        <v>12550.58</v>
      </c>
      <c r="D4">
        <f>'Income_Statement(5 years)'!D23</f>
        <v>12858.52</v>
      </c>
      <c r="E4">
        <f>'Income_Statement(5 years)'!E23</f>
        <v>12558.19</v>
      </c>
      <c r="F4">
        <f>'Income_Statement(5 years)'!F23</f>
        <v>12352.23</v>
      </c>
      <c r="G4">
        <f>G10*G3</f>
        <v>10831.87499055602</v>
      </c>
      <c r="H4">
        <f t="shared" ref="H4:L4" si="1">H10*H3</f>
        <v>10531.83335255489</v>
      </c>
      <c r="I4">
        <f t="shared" si="1"/>
        <v>10158.155721916541</v>
      </c>
      <c r="J4">
        <f t="shared" si="1"/>
        <v>9708.2724834805722</v>
      </c>
      <c r="K4">
        <f t="shared" si="1"/>
        <v>9237.0001779694758</v>
      </c>
      <c r="L4">
        <f t="shared" si="1"/>
        <v>8694.2006047965006</v>
      </c>
      <c r="M4">
        <f>M10*M3</f>
        <v>8321.7139302321102</v>
      </c>
    </row>
    <row r="5" spans="1:13" x14ac:dyDescent="0.35">
      <c r="A5" s="7" t="s">
        <v>149</v>
      </c>
      <c r="B5">
        <f>B6-B3+B4</f>
        <v>14499.94000000001</v>
      </c>
      <c r="C5">
        <f t="shared" ref="C5:D5" si="2">C6-C3+C4</f>
        <v>5096.369999999979</v>
      </c>
      <c r="D5">
        <f t="shared" si="2"/>
        <v>3281.4800000000214</v>
      </c>
      <c r="E5">
        <f>E6-E3+E4</f>
        <v>3492.5399999999772</v>
      </c>
      <c r="F5">
        <f>F11*F3</f>
        <v>5792.6429228342904</v>
      </c>
      <c r="G5">
        <f>G11*G3</f>
        <v>3918.5664596959527</v>
      </c>
      <c r="H5">
        <f t="shared" ref="H5:L5" si="3">H11*H3</f>
        <v>3674.3786961804117</v>
      </c>
      <c r="I5">
        <f t="shared" si="3"/>
        <v>3733.4772146506048</v>
      </c>
      <c r="J5">
        <f t="shared" si="3"/>
        <v>3761.0227515901215</v>
      </c>
      <c r="K5">
        <f t="shared" si="3"/>
        <v>3341.005628457091</v>
      </c>
      <c r="L5">
        <f t="shared" si="3"/>
        <v>3206.4083997723515</v>
      </c>
      <c r="M5">
        <f>M11*M3</f>
        <v>3098.8475180012456</v>
      </c>
    </row>
    <row r="6" spans="1:13" x14ac:dyDescent="0.35">
      <c r="A6" s="9" t="s">
        <v>150</v>
      </c>
      <c r="B6">
        <f>'Balance_Sheet(5 years)'!C29</f>
        <v>179731.76</v>
      </c>
      <c r="C6">
        <f>'Balance_Sheet(5 years)'!D29</f>
        <v>172277.55</v>
      </c>
      <c r="D6">
        <f>'Balance_Sheet(5 years)'!E29</f>
        <v>162700.51</v>
      </c>
      <c r="E6">
        <f>'Balance_Sheet(5 years)'!F29</f>
        <v>153634.85999999999</v>
      </c>
      <c r="F6">
        <f>F3-F4+F5</f>
        <v>147075.27292283427</v>
      </c>
      <c r="G6">
        <f>G3-G4+G5</f>
        <v>140161.96439197421</v>
      </c>
      <c r="H6">
        <f t="shared" ref="H6:L6" si="4">H3-H4+H5</f>
        <v>133304.50973559971</v>
      </c>
      <c r="I6">
        <f t="shared" si="4"/>
        <v>126879.83122833377</v>
      </c>
      <c r="J6">
        <f t="shared" si="4"/>
        <v>120932.58149644332</v>
      </c>
      <c r="K6">
        <f t="shared" si="4"/>
        <v>115036.58694693094</v>
      </c>
      <c r="L6">
        <f t="shared" si="4"/>
        <v>109548.79474190679</v>
      </c>
      <c r="M6">
        <f>M3-M4+M5</f>
        <v>104325.92832967592</v>
      </c>
    </row>
    <row r="8" spans="1:13" x14ac:dyDescent="0.35">
      <c r="A8" s="20" t="s">
        <v>140</v>
      </c>
    </row>
    <row r="9" spans="1:13" x14ac:dyDescent="0.35">
      <c r="A9" s="18" t="s">
        <v>146</v>
      </c>
      <c r="B9" s="19" t="s">
        <v>6</v>
      </c>
      <c r="C9" s="5" t="s">
        <v>5</v>
      </c>
      <c r="D9" s="5" t="s">
        <v>4</v>
      </c>
      <c r="E9" s="6">
        <v>45352</v>
      </c>
      <c r="F9" s="5" t="s">
        <v>2</v>
      </c>
      <c r="G9" s="6">
        <v>46082</v>
      </c>
      <c r="H9" s="6">
        <v>46447</v>
      </c>
      <c r="I9" s="6">
        <v>46813</v>
      </c>
      <c r="J9" s="6">
        <v>47178</v>
      </c>
      <c r="K9" s="6">
        <v>47543</v>
      </c>
      <c r="L9" s="6">
        <v>47908</v>
      </c>
      <c r="M9" s="6">
        <v>48274</v>
      </c>
    </row>
    <row r="10" spans="1:13" x14ac:dyDescent="0.35">
      <c r="A10" s="8" t="s">
        <v>151</v>
      </c>
      <c r="B10" s="14">
        <f>B4/B3</f>
        <v>6.618881168282531E-2</v>
      </c>
      <c r="C10" s="14">
        <f t="shared" ref="C10:F10" si="5">C4/C3</f>
        <v>6.9829505925942073E-2</v>
      </c>
      <c r="D10" s="14">
        <f t="shared" si="5"/>
        <v>7.4638396006908622E-2</v>
      </c>
      <c r="E10" s="14">
        <f t="shared" si="5"/>
        <v>7.7185928919337746E-2</v>
      </c>
      <c r="F10" s="14">
        <f t="shared" si="5"/>
        <v>8.039991705007575E-2</v>
      </c>
      <c r="G10" s="15">
        <f>AVERAGE(B10:F10)</f>
        <v>7.3648511917017906E-2</v>
      </c>
      <c r="H10" s="15">
        <f>AVERAGE(C10:G10)</f>
        <v>7.5140451963856408E-2</v>
      </c>
      <c r="I10" s="15">
        <f t="shared" ref="I10" si="6">AVERAGE(D10:H10)</f>
        <v>7.6202641171439295E-2</v>
      </c>
      <c r="J10" s="15">
        <f t="shared" ref="J10" si="7">AVERAGE(E10:I10)</f>
        <v>7.6515490204345421E-2</v>
      </c>
      <c r="K10" s="15">
        <f t="shared" ref="K10" si="8">AVERAGE(F10:J10)</f>
        <v>7.6381402461346948E-2</v>
      </c>
      <c r="L10" s="15">
        <f t="shared" ref="L10" si="9">AVERAGE(G10:K10)</f>
        <v>7.557769954360119E-2</v>
      </c>
      <c r="M10" s="15">
        <f t="shared" ref="M10" si="10">AVERAGE(H10:L10)</f>
        <v>7.5963537068917855E-2</v>
      </c>
    </row>
    <row r="11" spans="1:13" x14ac:dyDescent="0.35">
      <c r="A11" s="8" t="s">
        <v>152</v>
      </c>
      <c r="B11" s="14">
        <f>B5/B3</f>
        <v>8.194672310652841E-2</v>
      </c>
      <c r="C11" s="14">
        <f t="shared" ref="C11:E11" si="11">C5/C3</f>
        <v>2.8355422547467285E-2</v>
      </c>
      <c r="D11" s="14">
        <f t="shared" si="11"/>
        <v>1.9047635632153007E-2</v>
      </c>
      <c r="E11" s="14">
        <f t="shared" si="11"/>
        <v>2.1466066701327346E-2</v>
      </c>
      <c r="F11" s="14">
        <f>AVERAGE(B11:E11)</f>
        <v>3.7703961996869012E-2</v>
      </c>
      <c r="G11" s="14">
        <f t="shared" ref="G11:M11" si="12">AVERAGE(C11:F11)</f>
        <v>2.6643271719454163E-2</v>
      </c>
      <c r="H11" s="14">
        <f t="shared" si="12"/>
        <v>2.6215234012450881E-2</v>
      </c>
      <c r="I11" s="14">
        <f t="shared" si="12"/>
        <v>2.800713360752535E-2</v>
      </c>
      <c r="J11" s="14">
        <f t="shared" si="12"/>
        <v>2.964240033407485E-2</v>
      </c>
      <c r="K11" s="14">
        <f t="shared" si="12"/>
        <v>2.762700991837631E-2</v>
      </c>
      <c r="L11" s="14">
        <f t="shared" si="12"/>
        <v>2.7872944468106849E-2</v>
      </c>
      <c r="M11" s="14">
        <f t="shared" si="12"/>
        <v>2.828737208202084E-2</v>
      </c>
    </row>
  </sheetData>
  <mergeCells count="1">
    <mergeCell ref="G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77876-AEE2-4B2E-B0E9-C7EF7585C8E8}">
  <dimension ref="B3:AF24"/>
  <sheetViews>
    <sheetView topLeftCell="P1" zoomScale="84" zoomScaleNormal="84" workbookViewId="0">
      <selection activeCell="Z3" sqref="Z3"/>
    </sheetView>
  </sheetViews>
  <sheetFormatPr defaultRowHeight="14.5" x14ac:dyDescent="0.35"/>
  <cols>
    <col min="2" max="2" width="22.6328125" bestFit="1" customWidth="1"/>
    <col min="3" max="3" width="12.1796875" customWidth="1"/>
    <col min="11" max="11" width="21.90625" bestFit="1" customWidth="1"/>
    <col min="12" max="14" width="10.1796875" bestFit="1" customWidth="1"/>
    <col min="15" max="16" width="11.26953125" bestFit="1" customWidth="1"/>
    <col min="19" max="19" width="21.54296875" bestFit="1" customWidth="1"/>
    <col min="27" max="27" width="27.36328125" bestFit="1" customWidth="1"/>
    <col min="28" max="28" width="12.36328125" bestFit="1" customWidth="1"/>
    <col min="29" max="29" width="11.1796875" customWidth="1"/>
    <col min="30" max="30" width="10.7265625" customWidth="1"/>
    <col min="31" max="31" width="10.81640625" customWidth="1"/>
    <col min="32" max="32" width="10.26953125" customWidth="1"/>
  </cols>
  <sheetData>
    <row r="3" spans="2:32" ht="18.5" x14ac:dyDescent="0.45">
      <c r="B3" s="35" t="s">
        <v>213</v>
      </c>
      <c r="C3" s="6">
        <v>43891</v>
      </c>
      <c r="D3" s="6">
        <v>44256</v>
      </c>
      <c r="E3" s="6">
        <v>44621</v>
      </c>
      <c r="F3" s="6">
        <v>44986</v>
      </c>
      <c r="G3" s="6">
        <v>45352</v>
      </c>
      <c r="K3" s="35" t="s">
        <v>214</v>
      </c>
      <c r="L3" s="6">
        <v>43891</v>
      </c>
      <c r="M3" s="6">
        <v>44256</v>
      </c>
      <c r="N3" s="6">
        <v>44621</v>
      </c>
      <c r="O3" s="6">
        <v>44986</v>
      </c>
      <c r="P3" s="6">
        <v>45352</v>
      </c>
      <c r="S3" s="35" t="s">
        <v>215</v>
      </c>
      <c r="T3" s="6">
        <v>43891</v>
      </c>
      <c r="U3" s="6">
        <v>44256</v>
      </c>
      <c r="V3" s="6">
        <v>44621</v>
      </c>
      <c r="W3" s="6">
        <v>44986</v>
      </c>
      <c r="X3" s="6">
        <v>45352</v>
      </c>
      <c r="AA3" s="35" t="s">
        <v>275</v>
      </c>
      <c r="AB3" s="6">
        <v>43891</v>
      </c>
      <c r="AC3" s="6">
        <v>44256</v>
      </c>
      <c r="AD3" s="6">
        <v>44621</v>
      </c>
      <c r="AE3" s="6">
        <v>44986</v>
      </c>
      <c r="AF3" s="6">
        <v>45352</v>
      </c>
    </row>
    <row r="4" spans="2:32" x14ac:dyDescent="0.35">
      <c r="B4" s="26" t="s">
        <v>193</v>
      </c>
      <c r="C4">
        <v>2110.4699999999998</v>
      </c>
      <c r="D4">
        <v>2230.5700000000002</v>
      </c>
      <c r="E4">
        <v>2506.44</v>
      </c>
      <c r="F4">
        <v>2824.06</v>
      </c>
      <c r="G4">
        <v>3124.41</v>
      </c>
      <c r="K4" s="26" t="s">
        <v>193</v>
      </c>
      <c r="L4">
        <v>13761.97</v>
      </c>
      <c r="M4">
        <v>8378.07</v>
      </c>
      <c r="N4">
        <v>10879.8</v>
      </c>
      <c r="O4">
        <v>13699.59</v>
      </c>
      <c r="P4">
        <v>15787.66</v>
      </c>
      <c r="S4" s="26" t="s">
        <v>193</v>
      </c>
      <c r="T4">
        <v>29983.81</v>
      </c>
      <c r="U4">
        <v>31603.11</v>
      </c>
      <c r="V4">
        <v>33486.1</v>
      </c>
      <c r="W4">
        <v>35407.96</v>
      </c>
      <c r="X4">
        <v>37275.949999999997</v>
      </c>
      <c r="AA4" s="26" t="s">
        <v>193</v>
      </c>
      <c r="AB4">
        <v>64439.69</v>
      </c>
      <c r="AC4">
        <f>'Balance_Sheet(5 years)'!B7</f>
        <v>69578.84</v>
      </c>
      <c r="AD4">
        <f>'Balance_Sheet(5 years)'!C7</f>
        <v>76151.570000000007</v>
      </c>
      <c r="AE4">
        <f>'Balance_Sheet(5 years)'!D7</f>
        <v>82844.179999999993</v>
      </c>
      <c r="AF4">
        <f>'Balance_Sheet(5 years)'!E7</f>
        <v>86867.05</v>
      </c>
    </row>
    <row r="5" spans="2:32" x14ac:dyDescent="0.35">
      <c r="B5" s="26" t="s">
        <v>194</v>
      </c>
      <c r="C5">
        <v>1508.58</v>
      </c>
      <c r="D5">
        <v>1205.54</v>
      </c>
      <c r="E5">
        <v>553.67999999999995</v>
      </c>
      <c r="F5">
        <v>516.17999999999995</v>
      </c>
      <c r="G5">
        <v>470.37</v>
      </c>
      <c r="K5" s="26" t="s">
        <v>194</v>
      </c>
      <c r="L5">
        <v>19301.66</v>
      </c>
      <c r="M5">
        <v>25961.3</v>
      </c>
      <c r="N5">
        <v>24708.38</v>
      </c>
      <c r="O5">
        <v>21865.48</v>
      </c>
      <c r="P5">
        <v>19526.16</v>
      </c>
      <c r="S5" s="26" t="s">
        <v>194</v>
      </c>
      <c r="T5">
        <v>23223.83</v>
      </c>
      <c r="U5">
        <v>23352.55</v>
      </c>
      <c r="V5">
        <v>26017.64</v>
      </c>
      <c r="W5">
        <v>28140.34</v>
      </c>
      <c r="X5">
        <v>30975.99</v>
      </c>
      <c r="AA5" s="26" t="s">
        <v>194</v>
      </c>
      <c r="AB5">
        <v>147979.64000000001</v>
      </c>
      <c r="AC5">
        <f>'Balance_Sheet(5 years)'!B54</f>
        <v>143051.48000000001</v>
      </c>
      <c r="AD5">
        <f>'Balance_Sheet(5 years)'!C54</f>
        <v>134665.26999999999</v>
      </c>
      <c r="AE5">
        <f>'Balance_Sheet(5 years)'!D54</f>
        <v>128517.51</v>
      </c>
      <c r="AF5">
        <f>'Balance_Sheet(5 years)'!E54</f>
        <v>123448.62</v>
      </c>
    </row>
    <row r="6" spans="2:32" x14ac:dyDescent="0.35">
      <c r="B6" s="26" t="s">
        <v>195</v>
      </c>
      <c r="C6">
        <v>3.57</v>
      </c>
      <c r="D6">
        <v>0.42</v>
      </c>
      <c r="E6">
        <v>1.58</v>
      </c>
      <c r="F6">
        <v>7.15</v>
      </c>
      <c r="G6">
        <v>1.52</v>
      </c>
      <c r="K6" s="26" t="s">
        <v>195</v>
      </c>
      <c r="L6">
        <v>178.94</v>
      </c>
      <c r="M6">
        <v>383.13</v>
      </c>
      <c r="N6">
        <v>78.55</v>
      </c>
      <c r="O6">
        <v>295.92</v>
      </c>
      <c r="P6">
        <v>618.59</v>
      </c>
      <c r="S6" s="26" t="s">
        <v>195</v>
      </c>
      <c r="T6">
        <v>389.12</v>
      </c>
      <c r="U6">
        <v>913.96</v>
      </c>
      <c r="V6">
        <v>1160.71</v>
      </c>
      <c r="W6">
        <v>638.22</v>
      </c>
      <c r="X6">
        <v>1150.3599999999999</v>
      </c>
      <c r="AA6" s="26" t="s">
        <v>195</v>
      </c>
      <c r="AB6">
        <v>5409.4</v>
      </c>
      <c r="AC6">
        <f>'Balance_Sheet(5 years)'!B43</f>
        <v>5273.54</v>
      </c>
      <c r="AD6">
        <f>'Balance_Sheet(5 years)'!C43</f>
        <v>2971.04</v>
      </c>
      <c r="AE6">
        <f>'Balance_Sheet(5 years)'!D43</f>
        <v>4734.4399999999996</v>
      </c>
      <c r="AF6">
        <f>'Balance_Sheet(5 years)'!E43</f>
        <v>5026.7299999999996</v>
      </c>
    </row>
    <row r="7" spans="2:32" x14ac:dyDescent="0.35">
      <c r="B7" s="26" t="s">
        <v>196</v>
      </c>
      <c r="C7">
        <v>175.8</v>
      </c>
      <c r="D7">
        <v>202.69</v>
      </c>
      <c r="E7">
        <v>227.75</v>
      </c>
      <c r="F7">
        <v>256.62</v>
      </c>
      <c r="G7">
        <v>174.87</v>
      </c>
      <c r="K7" s="26" t="s">
        <v>196</v>
      </c>
      <c r="L7">
        <v>50.89</v>
      </c>
      <c r="M7">
        <v>26.22</v>
      </c>
      <c r="N7">
        <v>34.049999999999997</v>
      </c>
      <c r="O7">
        <v>42.88</v>
      </c>
      <c r="P7">
        <v>49.39</v>
      </c>
      <c r="S7" s="26" t="s">
        <v>196</v>
      </c>
      <c r="T7">
        <v>29.85</v>
      </c>
      <c r="U7">
        <v>31.46</v>
      </c>
      <c r="V7">
        <v>33.340000000000003</v>
      </c>
      <c r="W7">
        <v>35.25</v>
      </c>
      <c r="X7">
        <v>37.11</v>
      </c>
      <c r="AA7" s="26" t="s">
        <v>196</v>
      </c>
      <c r="AB7">
        <v>69.290000000000006</v>
      </c>
      <c r="AC7">
        <f>'Balance_Sheet(5 years)'!B56</f>
        <v>74.81</v>
      </c>
      <c r="AD7">
        <f>'Balance_Sheet(5 years)'!C56</f>
        <v>81.88</v>
      </c>
      <c r="AE7">
        <f>'Balance_Sheet(5 years)'!D56</f>
        <v>89.07</v>
      </c>
      <c r="AF7">
        <f>'Balance_Sheet(5 years)'!E56</f>
        <v>93.4</v>
      </c>
    </row>
    <row r="8" spans="2:32" x14ac:dyDescent="0.35">
      <c r="B8" s="26" t="s">
        <v>204</v>
      </c>
      <c r="C8">
        <v>976.01</v>
      </c>
      <c r="D8">
        <v>868.49</v>
      </c>
      <c r="E8">
        <v>769.64</v>
      </c>
      <c r="F8">
        <v>784.7</v>
      </c>
      <c r="G8">
        <v>717.69</v>
      </c>
      <c r="K8" s="26" t="s">
        <v>204</v>
      </c>
      <c r="L8">
        <v>7726.39</v>
      </c>
      <c r="M8">
        <v>13169.48</v>
      </c>
      <c r="N8">
        <v>11107.93</v>
      </c>
      <c r="O8">
        <v>17727.78</v>
      </c>
      <c r="P8">
        <v>20093.36</v>
      </c>
      <c r="S8" s="26" t="s">
        <v>204</v>
      </c>
      <c r="T8">
        <v>8735.15</v>
      </c>
      <c r="U8">
        <v>8506.58</v>
      </c>
      <c r="V8">
        <v>8309.2199999999993</v>
      </c>
      <c r="W8">
        <v>9316.34</v>
      </c>
      <c r="X8">
        <v>8396.49</v>
      </c>
      <c r="AA8" s="26" t="s">
        <v>204</v>
      </c>
      <c r="AB8">
        <v>36185.54</v>
      </c>
      <c r="AC8">
        <f>'Income_Statement(5 years)'!B7</f>
        <v>37665.65</v>
      </c>
      <c r="AD8">
        <f>'Income_Statement(5 years)'!C7</f>
        <v>39933.39</v>
      </c>
      <c r="AE8">
        <f>'Income_Statement(5 years)'!D7</f>
        <v>42635.9</v>
      </c>
      <c r="AF8">
        <f>'Income_Statement(5 years)'!E7</f>
        <v>42391.16</v>
      </c>
    </row>
    <row r="9" spans="2:32" x14ac:dyDescent="0.35">
      <c r="B9" s="26" t="s">
        <v>128</v>
      </c>
      <c r="C9">
        <v>877.17</v>
      </c>
      <c r="D9">
        <v>802.01</v>
      </c>
      <c r="E9">
        <v>729.96</v>
      </c>
      <c r="F9">
        <v>719.9</v>
      </c>
      <c r="G9">
        <v>690.31</v>
      </c>
      <c r="K9" s="26" t="s">
        <v>128</v>
      </c>
      <c r="L9">
        <v>3504.41</v>
      </c>
      <c r="M9">
        <v>3982.16</v>
      </c>
      <c r="N9">
        <v>4534.51</v>
      </c>
      <c r="O9">
        <v>5696.77</v>
      </c>
      <c r="P9">
        <v>5753.02</v>
      </c>
      <c r="S9" s="26" t="s">
        <v>128</v>
      </c>
      <c r="T9">
        <v>5685.98</v>
      </c>
      <c r="U9">
        <v>5786.1</v>
      </c>
      <c r="V9">
        <v>5738.75</v>
      </c>
      <c r="W9">
        <v>6253.9</v>
      </c>
      <c r="X9">
        <v>5877.12</v>
      </c>
      <c r="AA9" s="26" t="s">
        <v>128</v>
      </c>
      <c r="AB9">
        <v>33534.15</v>
      </c>
      <c r="AC9">
        <f>'Income_Statement(5 years)'!B20</f>
        <v>36140.5</v>
      </c>
      <c r="AD9">
        <f>'Income_Statement(5 years)'!C20</f>
        <v>37329.49</v>
      </c>
      <c r="AE9">
        <f>'Income_Statement(5 years)'!D20</f>
        <v>39552.67</v>
      </c>
      <c r="AF9">
        <f>'Income_Statement(5 years)'!E20</f>
        <v>40179.03</v>
      </c>
    </row>
    <row r="10" spans="2:32" x14ac:dyDescent="0.35">
      <c r="B10" s="26" t="s">
        <v>205</v>
      </c>
      <c r="C10">
        <v>620.89</v>
      </c>
      <c r="D10">
        <v>545.32999999999993</v>
      </c>
      <c r="E10">
        <v>472.75000000000006</v>
      </c>
      <c r="F10">
        <v>458.35999999999996</v>
      </c>
      <c r="G10">
        <v>427.79999999999995</v>
      </c>
      <c r="K10" s="26" t="s">
        <v>205</v>
      </c>
      <c r="L10">
        <v>2818.66</v>
      </c>
      <c r="M10">
        <v>2747.46</v>
      </c>
      <c r="N10">
        <v>3400.28</v>
      </c>
      <c r="O10">
        <v>4529.3</v>
      </c>
      <c r="P10">
        <v>4564.5600000000004</v>
      </c>
      <c r="S10" s="26" t="s">
        <v>205</v>
      </c>
      <c r="T10">
        <v>4140.6399999999994</v>
      </c>
      <c r="U10">
        <v>4557.4500000000007</v>
      </c>
      <c r="V10">
        <v>4612.53</v>
      </c>
      <c r="W10">
        <v>5108.4599999999991</v>
      </c>
      <c r="X10">
        <v>4766.12</v>
      </c>
      <c r="AA10" s="26" t="s">
        <v>205</v>
      </c>
      <c r="AB10">
        <v>22460.97</v>
      </c>
      <c r="AC10">
        <v>24428.82</v>
      </c>
      <c r="AD10">
        <v>24778.909999999996</v>
      </c>
      <c r="AE10">
        <v>26694.149999999998</v>
      </c>
      <c r="AF10">
        <v>27620.839999999997</v>
      </c>
    </row>
    <row r="11" spans="2:32" x14ac:dyDescent="0.35">
      <c r="B11" s="26" t="s">
        <v>206</v>
      </c>
      <c r="C11">
        <v>267.91000000000003</v>
      </c>
      <c r="D11">
        <v>295.85000000000002</v>
      </c>
      <c r="E11">
        <v>305.10000000000002</v>
      </c>
      <c r="F11">
        <v>313.57</v>
      </c>
      <c r="G11">
        <v>304.54000000000002</v>
      </c>
      <c r="K11" s="26" t="s">
        <v>206</v>
      </c>
      <c r="L11">
        <v>558.35</v>
      </c>
      <c r="M11">
        <v>339.71</v>
      </c>
      <c r="N11">
        <v>3250.76</v>
      </c>
      <c r="O11">
        <v>3267.9</v>
      </c>
      <c r="P11">
        <v>2229.86</v>
      </c>
      <c r="S11" s="26" t="s">
        <v>206</v>
      </c>
      <c r="T11">
        <v>3007.17</v>
      </c>
      <c r="U11">
        <v>3245.06</v>
      </c>
      <c r="V11">
        <v>3537.71</v>
      </c>
      <c r="W11">
        <v>3833.79</v>
      </c>
      <c r="X11">
        <v>3721.8</v>
      </c>
      <c r="AA11" s="26" t="s">
        <v>206</v>
      </c>
      <c r="AB11">
        <v>10811.18</v>
      </c>
      <c r="AC11">
        <v>11935.78</v>
      </c>
      <c r="AD11">
        <v>17093.759999999998</v>
      </c>
      <c r="AE11">
        <v>15124.54</v>
      </c>
      <c r="AF11">
        <v>15377.48</v>
      </c>
    </row>
    <row r="12" spans="2:32" x14ac:dyDescent="0.35">
      <c r="B12" s="26" t="s">
        <v>207</v>
      </c>
      <c r="C12">
        <v>28.41</v>
      </c>
      <c r="D12">
        <v>26.88</v>
      </c>
      <c r="E12">
        <v>25.07</v>
      </c>
      <c r="F12">
        <v>28.86</v>
      </c>
      <c r="G12">
        <v>27.3</v>
      </c>
      <c r="K12" s="26" t="s">
        <v>207</v>
      </c>
      <c r="L12">
        <v>2.06</v>
      </c>
      <c r="M12">
        <v>1.06</v>
      </c>
      <c r="N12">
        <v>10.17</v>
      </c>
      <c r="O12">
        <v>10.23</v>
      </c>
      <c r="P12">
        <v>6.98</v>
      </c>
      <c r="S12" s="26" t="s">
        <v>207</v>
      </c>
      <c r="T12">
        <v>2.99</v>
      </c>
      <c r="U12">
        <v>3.23</v>
      </c>
      <c r="V12">
        <v>3.52</v>
      </c>
      <c r="W12">
        <v>3.82</v>
      </c>
      <c r="X12">
        <v>3.71</v>
      </c>
      <c r="AA12" s="26" t="s">
        <v>207</v>
      </c>
      <c r="AB12">
        <v>11.62</v>
      </c>
      <c r="AC12">
        <v>12.83</v>
      </c>
      <c r="AD12">
        <v>18.38</v>
      </c>
      <c r="AE12">
        <v>16.260000000000002</v>
      </c>
      <c r="AF12">
        <v>16.53</v>
      </c>
    </row>
    <row r="13" spans="2:32" x14ac:dyDescent="0.35">
      <c r="B13" s="27" t="s">
        <v>208</v>
      </c>
      <c r="K13" s="27" t="s">
        <v>208</v>
      </c>
      <c r="S13" s="27" t="s">
        <v>208</v>
      </c>
      <c r="AA13" s="27" t="s">
        <v>208</v>
      </c>
    </row>
    <row r="14" spans="2:32" x14ac:dyDescent="0.35">
      <c r="B14" s="26" t="s">
        <v>209</v>
      </c>
      <c r="C14">
        <v>128</v>
      </c>
      <c r="D14">
        <v>109</v>
      </c>
      <c r="E14">
        <v>109</v>
      </c>
      <c r="F14">
        <v>111</v>
      </c>
      <c r="G14">
        <v>111</v>
      </c>
      <c r="K14" s="26" t="s">
        <v>209</v>
      </c>
      <c r="L14">
        <v>381</v>
      </c>
      <c r="M14">
        <v>320</v>
      </c>
      <c r="N14">
        <v>320</v>
      </c>
      <c r="O14">
        <v>319</v>
      </c>
      <c r="P14">
        <v>320</v>
      </c>
      <c r="S14" s="26" t="s">
        <v>209</v>
      </c>
      <c r="T14">
        <v>999</v>
      </c>
      <c r="U14">
        <v>1003</v>
      </c>
      <c r="V14">
        <v>1002</v>
      </c>
      <c r="W14">
        <v>1014</v>
      </c>
      <c r="X14">
        <v>1005</v>
      </c>
      <c r="AA14" s="26" t="s">
        <v>209</v>
      </c>
      <c r="AB14">
        <v>930</v>
      </c>
      <c r="AC14">
        <v>930</v>
      </c>
      <c r="AD14">
        <v>930</v>
      </c>
      <c r="AE14">
        <v>930</v>
      </c>
      <c r="AF14">
        <v>930</v>
      </c>
    </row>
    <row r="15" spans="2:32" x14ac:dyDescent="0.35">
      <c r="B15" s="26" t="s">
        <v>210</v>
      </c>
      <c r="C15">
        <v>10</v>
      </c>
      <c r="D15">
        <v>10</v>
      </c>
      <c r="E15">
        <v>10</v>
      </c>
      <c r="F15">
        <v>10</v>
      </c>
      <c r="G15">
        <v>10</v>
      </c>
      <c r="K15" s="26" t="s">
        <v>210</v>
      </c>
      <c r="L15">
        <v>1</v>
      </c>
      <c r="M15">
        <v>1</v>
      </c>
      <c r="N15">
        <v>1</v>
      </c>
      <c r="O15">
        <v>1</v>
      </c>
      <c r="P15">
        <v>1</v>
      </c>
      <c r="S15" s="26" t="s">
        <v>210</v>
      </c>
      <c r="T15">
        <v>10</v>
      </c>
      <c r="U15">
        <v>10</v>
      </c>
      <c r="V15">
        <v>10</v>
      </c>
      <c r="W15">
        <v>10</v>
      </c>
      <c r="X15">
        <v>10</v>
      </c>
      <c r="AA15" s="26" t="s">
        <v>210</v>
      </c>
      <c r="AB15">
        <v>10</v>
      </c>
      <c r="AC15">
        <v>10</v>
      </c>
      <c r="AD15">
        <v>10</v>
      </c>
      <c r="AE15">
        <v>10</v>
      </c>
      <c r="AF15">
        <v>10</v>
      </c>
    </row>
    <row r="16" spans="2:32" x14ac:dyDescent="0.35">
      <c r="B16" s="26" t="s">
        <v>211</v>
      </c>
      <c r="C16">
        <v>427</v>
      </c>
      <c r="D16">
        <v>1949</v>
      </c>
      <c r="E16">
        <v>2658</v>
      </c>
      <c r="F16">
        <v>895</v>
      </c>
      <c r="G16">
        <v>771</v>
      </c>
      <c r="K16" s="26" t="s">
        <v>211</v>
      </c>
      <c r="L16">
        <v>72.680000000000007</v>
      </c>
      <c r="M16">
        <v>214.91</v>
      </c>
      <c r="N16">
        <v>203.64</v>
      </c>
      <c r="O16">
        <v>328.68</v>
      </c>
      <c r="P16">
        <v>390.1</v>
      </c>
      <c r="S16" s="26" t="s">
        <v>211</v>
      </c>
      <c r="T16">
        <v>22.65</v>
      </c>
      <c r="U16">
        <v>30.95</v>
      </c>
      <c r="V16">
        <v>39.75</v>
      </c>
      <c r="W16">
        <v>64.599999999999994</v>
      </c>
      <c r="X16">
        <v>80.69</v>
      </c>
      <c r="AA16" s="26" t="s">
        <v>211</v>
      </c>
      <c r="AB16">
        <v>103.25</v>
      </c>
      <c r="AC16">
        <v>153.30000000000001</v>
      </c>
      <c r="AD16">
        <v>156.69999999999999</v>
      </c>
      <c r="AE16">
        <v>237.2</v>
      </c>
      <c r="AF16">
        <v>308.60000000000002</v>
      </c>
    </row>
    <row r="17" spans="2:32" x14ac:dyDescent="0.35">
      <c r="B17" s="26" t="s">
        <v>212</v>
      </c>
      <c r="C17">
        <v>54600</v>
      </c>
      <c r="D17">
        <v>212500</v>
      </c>
      <c r="E17">
        <v>289700</v>
      </c>
      <c r="F17">
        <v>99300</v>
      </c>
      <c r="G17">
        <v>92600</v>
      </c>
      <c r="K17" s="26" t="s">
        <v>212</v>
      </c>
      <c r="L17">
        <v>275000</v>
      </c>
      <c r="M17">
        <v>789000</v>
      </c>
      <c r="N17">
        <v>667000</v>
      </c>
      <c r="O17">
        <v>1062000</v>
      </c>
      <c r="P17">
        <v>1242000</v>
      </c>
      <c r="S17" s="26" t="s">
        <v>212</v>
      </c>
      <c r="T17">
        <v>25900</v>
      </c>
      <c r="U17">
        <v>34600</v>
      </c>
      <c r="V17">
        <v>40000</v>
      </c>
      <c r="W17">
        <v>64700</v>
      </c>
      <c r="X17">
        <v>78500</v>
      </c>
      <c r="AA17" s="26" t="s">
        <v>212</v>
      </c>
      <c r="AB17">
        <v>96000</v>
      </c>
      <c r="AC17">
        <v>142600</v>
      </c>
      <c r="AD17">
        <v>145700</v>
      </c>
      <c r="AE17">
        <v>220600</v>
      </c>
      <c r="AF17">
        <v>286100</v>
      </c>
    </row>
    <row r="18" spans="2:32" x14ac:dyDescent="0.35">
      <c r="B18" s="27" t="s">
        <v>197</v>
      </c>
      <c r="K18" s="27" t="s">
        <v>197</v>
      </c>
      <c r="S18" s="27" t="s">
        <v>197</v>
      </c>
      <c r="AA18" s="27" t="s">
        <v>197</v>
      </c>
    </row>
    <row r="19" spans="2:32" x14ac:dyDescent="0.35">
      <c r="B19" s="26" t="s">
        <v>198</v>
      </c>
      <c r="C19">
        <f>C17+C5-C6</f>
        <v>56105.01</v>
      </c>
      <c r="D19">
        <f t="shared" ref="D19:G19" si="0">D17+D5-D6</f>
        <v>213705.12</v>
      </c>
      <c r="E19">
        <f t="shared" si="0"/>
        <v>290252.09999999998</v>
      </c>
      <c r="F19">
        <f t="shared" si="0"/>
        <v>99809.03</v>
      </c>
      <c r="G19">
        <f t="shared" si="0"/>
        <v>93068.849999999991</v>
      </c>
      <c r="K19" s="26" t="s">
        <v>198</v>
      </c>
      <c r="L19" s="16">
        <f>L17+L5-L6</f>
        <v>294122.71999999997</v>
      </c>
      <c r="M19" s="16">
        <f t="shared" ref="M19:P19" si="1">M17+M5-M6</f>
        <v>814578.17</v>
      </c>
      <c r="N19" s="16">
        <f t="shared" si="1"/>
        <v>691629.83</v>
      </c>
      <c r="O19" s="16">
        <f t="shared" si="1"/>
        <v>1083569.56</v>
      </c>
      <c r="P19" s="16">
        <f t="shared" si="1"/>
        <v>1260907.5699999998</v>
      </c>
      <c r="S19" s="26" t="s">
        <v>198</v>
      </c>
      <c r="T19">
        <f>T17+T5-T6</f>
        <v>48734.71</v>
      </c>
      <c r="U19">
        <f t="shared" ref="U19:X19" si="2">U17+U5-U6</f>
        <v>57038.590000000004</v>
      </c>
      <c r="V19">
        <f t="shared" si="2"/>
        <v>64856.93</v>
      </c>
      <c r="W19">
        <f t="shared" si="2"/>
        <v>92202.12</v>
      </c>
      <c r="X19">
        <f t="shared" si="2"/>
        <v>108325.63</v>
      </c>
      <c r="AA19" s="26" t="s">
        <v>198</v>
      </c>
      <c r="AB19" s="16">
        <f>AB17+AB5-AB6</f>
        <v>238570.24000000002</v>
      </c>
      <c r="AC19" s="16">
        <f t="shared" ref="AC19:AF19" si="3">AC17+AC5-AC6</f>
        <v>280377.94</v>
      </c>
      <c r="AD19" s="16">
        <f t="shared" si="3"/>
        <v>277394.23000000004</v>
      </c>
      <c r="AE19" s="16">
        <f t="shared" si="3"/>
        <v>344383.07</v>
      </c>
      <c r="AF19" s="16">
        <f t="shared" si="3"/>
        <v>404521.89</v>
      </c>
    </row>
    <row r="20" spans="2:32" x14ac:dyDescent="0.35">
      <c r="B20" s="26" t="s">
        <v>199</v>
      </c>
      <c r="C20" s="16">
        <f>C16/C12</f>
        <v>15.029919042590636</v>
      </c>
      <c r="D20" s="16">
        <f t="shared" ref="D20:G20" si="4">D16/D12</f>
        <v>72.507440476190482</v>
      </c>
      <c r="E20" s="16">
        <f t="shared" si="4"/>
        <v>106.02313522138013</v>
      </c>
      <c r="F20" s="16">
        <f t="shared" si="4"/>
        <v>31.011781011781011</v>
      </c>
      <c r="G20" s="16">
        <f t="shared" si="4"/>
        <v>28.241758241758241</v>
      </c>
      <c r="K20" s="26" t="s">
        <v>199</v>
      </c>
      <c r="L20" s="16">
        <f>L16/L12</f>
        <v>35.281553398058257</v>
      </c>
      <c r="M20" s="16">
        <f t="shared" ref="M20:P20" si="5">M16/M12</f>
        <v>202.74528301886792</v>
      </c>
      <c r="N20" s="16">
        <f t="shared" si="5"/>
        <v>20.023598820058996</v>
      </c>
      <c r="O20" s="16">
        <f t="shared" si="5"/>
        <v>32.129032258064512</v>
      </c>
      <c r="P20" s="16">
        <f t="shared" si="5"/>
        <v>55.888252148997132</v>
      </c>
      <c r="S20" s="26" t="s">
        <v>199</v>
      </c>
      <c r="T20" s="16">
        <f>T16/T12</f>
        <v>7.5752508361204001</v>
      </c>
      <c r="U20" s="16">
        <f t="shared" ref="U20:X20" si="6">U16/U12</f>
        <v>9.5820433436532504</v>
      </c>
      <c r="V20" s="16">
        <f t="shared" si="6"/>
        <v>11.292613636363637</v>
      </c>
      <c r="W20" s="16">
        <f t="shared" si="6"/>
        <v>16.910994764397905</v>
      </c>
      <c r="X20" s="16">
        <f t="shared" si="6"/>
        <v>21.749326145552562</v>
      </c>
      <c r="AA20" s="26" t="s">
        <v>199</v>
      </c>
      <c r="AB20" s="16">
        <f>AB16/AB12</f>
        <v>8.8855421686747</v>
      </c>
      <c r="AC20" s="16">
        <f t="shared" ref="AC20:AF20" si="7">AC16/AC12</f>
        <v>11.948558067030397</v>
      </c>
      <c r="AD20" s="16">
        <f t="shared" si="7"/>
        <v>8.52557127312296</v>
      </c>
      <c r="AE20" s="16">
        <f t="shared" si="7"/>
        <v>14.587945879458793</v>
      </c>
      <c r="AF20" s="16">
        <f t="shared" si="7"/>
        <v>18.669086509376889</v>
      </c>
    </row>
    <row r="21" spans="2:32" x14ac:dyDescent="0.35">
      <c r="B21" s="26" t="s">
        <v>200</v>
      </c>
      <c r="C21" s="16">
        <f>C16/C7</f>
        <v>2.4288964732650737</v>
      </c>
      <c r="D21" s="16">
        <f t="shared" ref="D21:G21" si="8">D16/D7</f>
        <v>9.6156692486062454</v>
      </c>
      <c r="E21" s="16">
        <f t="shared" si="8"/>
        <v>11.670691547749726</v>
      </c>
      <c r="F21" s="16">
        <f t="shared" si="8"/>
        <v>3.487647104668381</v>
      </c>
      <c r="G21" s="16">
        <f t="shared" si="8"/>
        <v>4.4089895350832045</v>
      </c>
      <c r="K21" s="26" t="s">
        <v>200</v>
      </c>
      <c r="L21" s="16">
        <f>L16/L7</f>
        <v>1.4281784240518767</v>
      </c>
      <c r="M21" s="16">
        <f t="shared" ref="M21:P21" si="9">M16/M7</f>
        <v>8.1964149504195269</v>
      </c>
      <c r="N21" s="16">
        <f t="shared" si="9"/>
        <v>5.9806167400881058</v>
      </c>
      <c r="O21" s="16">
        <f t="shared" si="9"/>
        <v>7.6651119402985071</v>
      </c>
      <c r="P21" s="16">
        <f t="shared" si="9"/>
        <v>7.8983599919011951</v>
      </c>
      <c r="S21" s="26" t="s">
        <v>200</v>
      </c>
      <c r="T21" s="16">
        <f>T16/T7</f>
        <v>0.75879396984924619</v>
      </c>
      <c r="U21" s="16">
        <f t="shared" ref="U21:X21" si="10">U16/U7</f>
        <v>0.98378893833439285</v>
      </c>
      <c r="V21" s="16">
        <f t="shared" si="10"/>
        <v>1.1922615476904619</v>
      </c>
      <c r="W21" s="16">
        <f t="shared" si="10"/>
        <v>1.8326241134751771</v>
      </c>
      <c r="X21" s="16">
        <f t="shared" si="10"/>
        <v>2.1743465373214765</v>
      </c>
      <c r="AA21" s="26" t="s">
        <v>200</v>
      </c>
      <c r="AB21" s="16">
        <f>AB16/AB7</f>
        <v>1.490114013566171</v>
      </c>
      <c r="AC21" s="16">
        <f t="shared" ref="AC21:AF21" si="11">AC16/AC7</f>
        <v>2.0491912845876219</v>
      </c>
      <c r="AD21" s="16">
        <f t="shared" si="11"/>
        <v>1.9137762579384465</v>
      </c>
      <c r="AE21" s="16">
        <f t="shared" si="11"/>
        <v>2.6630739867519928</v>
      </c>
      <c r="AF21" s="16">
        <f t="shared" si="11"/>
        <v>3.3040685224839401</v>
      </c>
    </row>
    <row r="22" spans="2:32" x14ac:dyDescent="0.35">
      <c r="B22" s="26" t="s">
        <v>201</v>
      </c>
      <c r="C22" s="16">
        <f>C19/C9</f>
        <v>63.961387188344339</v>
      </c>
      <c r="D22" s="16">
        <f t="shared" ref="D22:G22" si="12">D19/D9</f>
        <v>266.46191443996958</v>
      </c>
      <c r="E22" s="16">
        <f t="shared" si="12"/>
        <v>397.62740424132824</v>
      </c>
      <c r="F22" s="16">
        <f t="shared" si="12"/>
        <v>138.64290873732463</v>
      </c>
      <c r="G22" s="16">
        <f t="shared" si="12"/>
        <v>134.82181918268603</v>
      </c>
      <c r="K22" s="26" t="s">
        <v>201</v>
      </c>
      <c r="L22" s="16">
        <f>L19/L9</f>
        <v>83.929311924118466</v>
      </c>
      <c r="M22" s="16">
        <f t="shared" ref="M22:P22" si="13">M19/M9</f>
        <v>204.55686612290819</v>
      </c>
      <c r="N22" s="16">
        <f t="shared" si="13"/>
        <v>152.52581425556454</v>
      </c>
      <c r="O22" s="16">
        <f t="shared" si="13"/>
        <v>190.20770717441638</v>
      </c>
      <c r="P22" s="16">
        <f t="shared" si="13"/>
        <v>219.17315948840778</v>
      </c>
      <c r="S22" s="26" t="s">
        <v>201</v>
      </c>
      <c r="T22" s="16">
        <f>T19/T9</f>
        <v>8.5710308513220248</v>
      </c>
      <c r="U22" s="16">
        <f t="shared" ref="U22:X22" si="14">U19/U9</f>
        <v>9.8578645374259004</v>
      </c>
      <c r="V22" s="16">
        <f t="shared" si="14"/>
        <v>11.301577869745154</v>
      </c>
      <c r="W22" s="16">
        <f t="shared" si="14"/>
        <v>14.743139480963878</v>
      </c>
      <c r="X22" s="16">
        <f t="shared" si="14"/>
        <v>18.431753988348035</v>
      </c>
      <c r="AA22" s="26" t="s">
        <v>201</v>
      </c>
      <c r="AB22" s="16">
        <f>AB19/AB9</f>
        <v>7.1142474164396594</v>
      </c>
      <c r="AC22" s="16">
        <f t="shared" ref="AC22:AF22" si="15">AC19/AC9</f>
        <v>7.7579983674824646</v>
      </c>
      <c r="AD22" s="16">
        <f t="shared" si="15"/>
        <v>7.4309675808589954</v>
      </c>
      <c r="AE22" s="16">
        <f t="shared" si="15"/>
        <v>8.7069487344343628</v>
      </c>
      <c r="AF22" s="16">
        <f t="shared" si="15"/>
        <v>10.067985464059237</v>
      </c>
    </row>
    <row r="23" spans="2:32" x14ac:dyDescent="0.35">
      <c r="B23" s="26" t="s">
        <v>202</v>
      </c>
      <c r="C23" s="16">
        <f>C19/C10</f>
        <v>90.362238077598292</v>
      </c>
      <c r="D23" s="16">
        <f t="shared" ref="D23:G23" si="16">D19/D10</f>
        <v>391.88219976894726</v>
      </c>
      <c r="E23" s="16">
        <f t="shared" si="16"/>
        <v>613.96530936012675</v>
      </c>
      <c r="F23" s="16">
        <f t="shared" si="16"/>
        <v>217.75248712802167</v>
      </c>
      <c r="G23" s="16">
        <f t="shared" si="16"/>
        <v>217.5522440392707</v>
      </c>
      <c r="K23" s="26" t="s">
        <v>202</v>
      </c>
      <c r="L23" s="16">
        <f>L19/L10</f>
        <v>104.34842088084409</v>
      </c>
      <c r="M23" s="16">
        <f t="shared" ref="M23:P23" si="17">M19/M10</f>
        <v>296.48408712046762</v>
      </c>
      <c r="N23" s="16">
        <f t="shared" si="17"/>
        <v>203.40378733516062</v>
      </c>
      <c r="O23" s="16">
        <f t="shared" si="17"/>
        <v>239.23554633166273</v>
      </c>
      <c r="P23" s="16">
        <f t="shared" si="17"/>
        <v>276.23857940305305</v>
      </c>
      <c r="S23" s="26" t="s">
        <v>202</v>
      </c>
      <c r="T23" s="16">
        <f>T19/T10</f>
        <v>11.769849588469416</v>
      </c>
      <c r="U23" s="16">
        <f t="shared" ref="U23:X23" si="18">U19/U10</f>
        <v>12.515461497109127</v>
      </c>
      <c r="V23" s="16">
        <f t="shared" si="18"/>
        <v>14.061031581366409</v>
      </c>
      <c r="W23" s="16">
        <f t="shared" si="18"/>
        <v>18.048907107034218</v>
      </c>
      <c r="X23" s="16">
        <f t="shared" si="18"/>
        <v>22.728263241378734</v>
      </c>
      <c r="AA23" s="26" t="s">
        <v>202</v>
      </c>
      <c r="AB23" s="16">
        <f>AB19/AB10</f>
        <v>10.621546620649063</v>
      </c>
      <c r="AC23" s="16">
        <f t="shared" ref="AC23:AF23" si="19">AC19/AC10</f>
        <v>11.477342745167389</v>
      </c>
      <c r="AD23" s="16">
        <f t="shared" si="19"/>
        <v>11.194771279285492</v>
      </c>
      <c r="AE23" s="16">
        <f t="shared" si="19"/>
        <v>12.901068960802274</v>
      </c>
      <c r="AF23" s="16">
        <f t="shared" si="19"/>
        <v>14.645531779627269</v>
      </c>
    </row>
    <row r="24" spans="2:32" x14ac:dyDescent="0.35">
      <c r="B24" s="26" t="s">
        <v>203</v>
      </c>
      <c r="C24" s="16">
        <f>C19/C8</f>
        <v>57.484052417495725</v>
      </c>
      <c r="D24" s="16">
        <f t="shared" ref="D24:G24" si="20">D19/D8</f>
        <v>246.06514755495169</v>
      </c>
      <c r="E24" s="16">
        <f t="shared" si="20"/>
        <v>377.12709838365987</v>
      </c>
      <c r="F24" s="16">
        <f t="shared" si="20"/>
        <v>127.19387026889257</v>
      </c>
      <c r="G24" s="16">
        <f t="shared" si="20"/>
        <v>129.67834301718011</v>
      </c>
      <c r="K24" s="26" t="s">
        <v>203</v>
      </c>
      <c r="L24" s="16">
        <f>L19/L8</f>
        <v>38.067288863233664</v>
      </c>
      <c r="M24" s="16">
        <f t="shared" ref="M24:P24" si="21">M19/M8</f>
        <v>61.853480167781875</v>
      </c>
      <c r="N24" s="16">
        <f t="shared" si="21"/>
        <v>62.264511029507744</v>
      </c>
      <c r="O24" s="16">
        <f t="shared" si="21"/>
        <v>61.122687668732361</v>
      </c>
      <c r="P24" s="16">
        <f t="shared" si="21"/>
        <v>62.752450063105414</v>
      </c>
      <c r="S24" s="26" t="s">
        <v>203</v>
      </c>
      <c r="T24" s="16">
        <f>T19/T8</f>
        <v>5.579149757016193</v>
      </c>
      <c r="U24" s="16">
        <f t="shared" ref="U24:X24" si="22">U19/U8</f>
        <v>6.7052317147431761</v>
      </c>
      <c r="V24" s="16">
        <f t="shared" si="22"/>
        <v>7.8054173556603397</v>
      </c>
      <c r="W24" s="16">
        <f t="shared" si="22"/>
        <v>9.8968178490694836</v>
      </c>
      <c r="X24" s="16">
        <f t="shared" si="22"/>
        <v>12.901299233370136</v>
      </c>
      <c r="AA24" s="26" t="s">
        <v>203</v>
      </c>
      <c r="AB24" s="16">
        <f>AB19/AB8</f>
        <v>6.5929716676882535</v>
      </c>
      <c r="AC24" s="16">
        <f t="shared" ref="AC24:AF24" si="23">AC19/AC8</f>
        <v>7.4438630423210537</v>
      </c>
      <c r="AD24" s="16">
        <f t="shared" si="23"/>
        <v>6.9464232813693014</v>
      </c>
      <c r="AE24" s="16">
        <f t="shared" si="23"/>
        <v>8.0773026956156659</v>
      </c>
      <c r="AF24" s="16">
        <f t="shared" si="23"/>
        <v>9.5426001553153998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F057-279E-40D2-9D7B-828C89A7F95F}">
  <dimension ref="B5:O20"/>
  <sheetViews>
    <sheetView topLeftCell="A4" workbookViewId="0">
      <selection activeCell="J18" sqref="J18"/>
    </sheetView>
  </sheetViews>
  <sheetFormatPr defaultRowHeight="14.5" x14ac:dyDescent="0.35"/>
  <cols>
    <col min="2" max="2" width="23.1796875" bestFit="1" customWidth="1"/>
    <col min="3" max="3" width="19" bestFit="1" customWidth="1"/>
    <col min="4" max="4" width="14.08984375" bestFit="1" customWidth="1"/>
    <col min="6" max="6" width="12.90625" bestFit="1" customWidth="1"/>
    <col min="7" max="7" width="23.6328125" bestFit="1" customWidth="1"/>
    <col min="12" max="12" width="13.6328125" customWidth="1"/>
  </cols>
  <sheetData>
    <row r="5" spans="2:15" ht="15.5" x14ac:dyDescent="0.35">
      <c r="B5" s="27" t="s">
        <v>217</v>
      </c>
      <c r="C5" s="34" t="s">
        <v>213</v>
      </c>
      <c r="D5" s="34" t="s">
        <v>214</v>
      </c>
      <c r="E5" s="34" t="s">
        <v>215</v>
      </c>
      <c r="F5" s="34" t="s">
        <v>216</v>
      </c>
      <c r="G5" s="34" t="s">
        <v>341</v>
      </c>
    </row>
    <row r="6" spans="2:15" x14ac:dyDescent="0.35">
      <c r="B6" s="26" t="s">
        <v>199</v>
      </c>
      <c r="C6" s="29">
        <f>'Peer_Group_FA(5 years)'!G20</f>
        <v>28.241758241758241</v>
      </c>
      <c r="D6" s="29">
        <f>'Peer_Group_FA(5 years)'!P20</f>
        <v>55.888252148997132</v>
      </c>
      <c r="E6" s="29">
        <f>'Peer_Group_FA(5 years)'!X20</f>
        <v>21.749326145552562</v>
      </c>
      <c r="F6" s="29">
        <f>'Peer_Group_FA(5 years)'!AF20</f>
        <v>18.669086509376889</v>
      </c>
      <c r="G6" s="28">
        <v>15</v>
      </c>
    </row>
    <row r="7" spans="2:15" x14ac:dyDescent="0.35">
      <c r="B7" s="26" t="s">
        <v>200</v>
      </c>
      <c r="C7" s="29">
        <f>'Peer_Group_FA(5 years)'!G21</f>
        <v>4.4089895350832045</v>
      </c>
      <c r="D7" s="29">
        <f>'Peer_Group_FA(5 years)'!P21</f>
        <v>7.8983599919011951</v>
      </c>
      <c r="E7" s="29">
        <f>'Peer_Group_FA(5 years)'!X21</f>
        <v>2.1743465373214765</v>
      </c>
      <c r="F7" s="29">
        <f>'Peer_Group_FA(5 years)'!AF21</f>
        <v>3.3040685224839401</v>
      </c>
      <c r="G7" s="28">
        <v>2.5</v>
      </c>
    </row>
    <row r="8" spans="2:15" x14ac:dyDescent="0.35">
      <c r="B8" s="26" t="s">
        <v>201</v>
      </c>
      <c r="C8" s="29">
        <f>'Peer_Group_FA(5 years)'!G22</f>
        <v>134.82181918268603</v>
      </c>
      <c r="D8" s="29">
        <f>'Peer_Group_FA(5 years)'!P22</f>
        <v>219.17315948840778</v>
      </c>
      <c r="E8" s="29">
        <f>'Peer_Group_FA(5 years)'!X22</f>
        <v>18.431753988348035</v>
      </c>
      <c r="F8" s="29">
        <f>'Peer_Group_FA(5 years)'!AF22</f>
        <v>10.067985464059237</v>
      </c>
      <c r="G8" s="28">
        <v>9</v>
      </c>
    </row>
    <row r="9" spans="2:15" x14ac:dyDescent="0.35">
      <c r="B9" s="26" t="s">
        <v>202</v>
      </c>
      <c r="C9" s="29">
        <f>'Peer_Group_FA(5 years)'!G23</f>
        <v>217.5522440392707</v>
      </c>
      <c r="D9" s="29">
        <f>'Peer_Group_FA(5 years)'!P23</f>
        <v>276.23857940305305</v>
      </c>
      <c r="E9" s="29">
        <f>'Peer_Group_FA(5 years)'!X23</f>
        <v>22.728263241378734</v>
      </c>
      <c r="F9" s="29">
        <f>'Peer_Group_FA(5 years)'!AF23</f>
        <v>14.645531779627269</v>
      </c>
      <c r="G9" s="28">
        <v>11</v>
      </c>
    </row>
    <row r="10" spans="2:15" x14ac:dyDescent="0.35">
      <c r="B10" s="26" t="s">
        <v>203</v>
      </c>
      <c r="C10" s="29">
        <f>'Peer_Group_FA(5 years)'!G24</f>
        <v>129.67834301718011</v>
      </c>
      <c r="D10" s="29">
        <f>'Peer_Group_FA(5 years)'!P24</f>
        <v>62.752450063105414</v>
      </c>
      <c r="E10" s="29">
        <f>'Peer_Group_FA(5 years)'!X24</f>
        <v>12.901299233370136</v>
      </c>
      <c r="F10" s="29">
        <f>'Peer_Group_FA(5 years)'!AF24</f>
        <v>9.5426001553153998</v>
      </c>
      <c r="G10" s="28">
        <v>3</v>
      </c>
    </row>
    <row r="13" spans="2:15" x14ac:dyDescent="0.35">
      <c r="B13" s="27" t="s">
        <v>218</v>
      </c>
      <c r="C13" s="38"/>
      <c r="D13" s="27" t="s">
        <v>219</v>
      </c>
      <c r="E13" s="28"/>
      <c r="H13" s="44"/>
      <c r="I13" s="44"/>
      <c r="J13" s="44"/>
      <c r="K13" s="44"/>
      <c r="L13" s="44"/>
      <c r="M13" s="44"/>
      <c r="N13" s="44"/>
      <c r="O13" s="44"/>
    </row>
    <row r="14" spans="2:15" x14ac:dyDescent="0.35">
      <c r="B14" s="26" t="s">
        <v>199</v>
      </c>
      <c r="C14" s="29">
        <f>F6*G6</f>
        <v>280.03629764065334</v>
      </c>
      <c r="D14" s="28">
        <v>0.47</v>
      </c>
      <c r="E14" s="29">
        <f>C14*D14</f>
        <v>131.61705989110706</v>
      </c>
    </row>
    <row r="15" spans="2:15" x14ac:dyDescent="0.35">
      <c r="B15" s="26" t="s">
        <v>200</v>
      </c>
      <c r="C15" s="29">
        <f>G7*'Peer_Group_FA(5 years)'!AF7</f>
        <v>233.5</v>
      </c>
      <c r="D15" s="28">
        <v>0.13</v>
      </c>
      <c r="E15" s="29">
        <f t="shared" ref="E15:E18" si="0">C15*D15</f>
        <v>30.355</v>
      </c>
    </row>
    <row r="16" spans="2:15" x14ac:dyDescent="0.35">
      <c r="B16" s="26" t="s">
        <v>201</v>
      </c>
      <c r="C16" s="29">
        <f>((G8*'Peer_Group_FA(5 years)'!AF9)-('Peer_Group_FA(5 years)'!AF5-'Peer_Group_FA(5 years)'!AF6))/'Peer_Group_FA(5 years)'!AF14</f>
        <v>261.49395698924729</v>
      </c>
      <c r="D16" s="28">
        <v>0.3</v>
      </c>
      <c r="E16" s="29">
        <f t="shared" si="0"/>
        <v>78.448187096774191</v>
      </c>
    </row>
    <row r="17" spans="2:5" x14ac:dyDescent="0.35">
      <c r="B17" s="26" t="s">
        <v>202</v>
      </c>
      <c r="C17" s="29">
        <f>((G9*'Peer_Group_FA(5 years)'!AF10)-('Peer_Group_FA(5 years)'!AF5-'Peer_Group_FA(5 years)'!AF6))/'Peer_Group_FA(5 years)'!AF14</f>
        <v>199.36274193548385</v>
      </c>
      <c r="D17" s="28">
        <v>0.05</v>
      </c>
      <c r="E17" s="29">
        <f t="shared" si="0"/>
        <v>9.9681370967741927</v>
      </c>
    </row>
    <row r="18" spans="2:5" x14ac:dyDescent="0.35">
      <c r="B18" s="26" t="s">
        <v>203</v>
      </c>
      <c r="C18" s="29">
        <f>((G10*'Peer_Group_FA(5 years)'!AF8)-('Peer_Group_FA(5 years)'!AF5-'Peer_Group_FA(5 years)'!AF6))/'Peer_Group_FA(5 years)'!AF14</f>
        <v>9.4103118279570008</v>
      </c>
      <c r="D18" s="28">
        <v>0.05</v>
      </c>
      <c r="E18" s="29">
        <f t="shared" si="0"/>
        <v>0.47051559139785004</v>
      </c>
    </row>
    <row r="20" spans="2:5" x14ac:dyDescent="0.35">
      <c r="C20" s="30" t="s">
        <v>220</v>
      </c>
      <c r="E20" s="16">
        <f>SUM(E14:E18)</f>
        <v>250.85889967605328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5A78-DC8F-4A54-94C7-45F01C25D28A}">
  <dimension ref="A1:AL251"/>
  <sheetViews>
    <sheetView topLeftCell="C1" workbookViewId="0">
      <selection activeCell="AU9" sqref="AU9"/>
    </sheetView>
  </sheetViews>
  <sheetFormatPr defaultRowHeight="14.5" x14ac:dyDescent="0.35"/>
  <cols>
    <col min="1" max="1" width="11.453125" customWidth="1"/>
    <col min="16" max="16" width="10.36328125" customWidth="1"/>
    <col min="32" max="32" width="10.54296875" customWidth="1"/>
  </cols>
  <sheetData>
    <row r="1" spans="1:38" x14ac:dyDescent="0.35">
      <c r="A1" s="10" t="s">
        <v>332</v>
      </c>
      <c r="P1" s="10" t="s">
        <v>340</v>
      </c>
      <c r="AF1" s="10" t="s">
        <v>339</v>
      </c>
    </row>
    <row r="2" spans="1:38" x14ac:dyDescent="0.35">
      <c r="A2" s="40" t="s">
        <v>333</v>
      </c>
      <c r="B2" s="40"/>
      <c r="C2" s="40"/>
      <c r="D2" s="40"/>
      <c r="E2" s="40"/>
      <c r="F2" s="40"/>
      <c r="G2" s="40"/>
      <c r="P2" s="40" t="s">
        <v>333</v>
      </c>
      <c r="Q2" s="40"/>
      <c r="R2" s="40"/>
      <c r="S2" s="40"/>
      <c r="T2" s="40"/>
      <c r="U2" s="40"/>
      <c r="V2" s="40"/>
      <c r="AF2" s="40" t="s">
        <v>333</v>
      </c>
      <c r="AG2" s="40"/>
      <c r="AH2" s="40"/>
      <c r="AI2" s="40"/>
      <c r="AJ2" s="40"/>
      <c r="AK2" s="40"/>
      <c r="AL2" s="40"/>
    </row>
    <row r="3" spans="1:38" x14ac:dyDescent="0.35">
      <c r="A3" s="41" t="s">
        <v>246</v>
      </c>
      <c r="B3" s="41" t="s">
        <v>334</v>
      </c>
      <c r="C3" s="41" t="s">
        <v>335</v>
      </c>
      <c r="D3" s="41" t="s">
        <v>336</v>
      </c>
      <c r="E3" s="41" t="s">
        <v>262</v>
      </c>
      <c r="F3" s="41" t="s">
        <v>337</v>
      </c>
      <c r="G3" s="41" t="s">
        <v>338</v>
      </c>
      <c r="P3" s="41" t="s">
        <v>246</v>
      </c>
      <c r="Q3" s="41" t="s">
        <v>334</v>
      </c>
      <c r="R3" s="41" t="s">
        <v>335</v>
      </c>
      <c r="S3" s="41" t="s">
        <v>336</v>
      </c>
      <c r="T3" s="41" t="s">
        <v>262</v>
      </c>
      <c r="U3" s="41" t="s">
        <v>337</v>
      </c>
      <c r="V3" s="41" t="s">
        <v>338</v>
      </c>
      <c r="AF3" s="41" t="s">
        <v>246</v>
      </c>
      <c r="AG3" s="41" t="s">
        <v>334</v>
      </c>
      <c r="AH3" s="41" t="s">
        <v>335</v>
      </c>
      <c r="AI3" s="41" t="s">
        <v>336</v>
      </c>
      <c r="AJ3" s="41" t="s">
        <v>262</v>
      </c>
      <c r="AK3" s="41" t="s">
        <v>337</v>
      </c>
      <c r="AL3" s="41" t="s">
        <v>338</v>
      </c>
    </row>
    <row r="4" spans="1:38" x14ac:dyDescent="0.35">
      <c r="A4" s="43">
        <v>45905</v>
      </c>
      <c r="B4" s="42">
        <v>285.39999999999998</v>
      </c>
      <c r="C4" s="42">
        <v>285.57</v>
      </c>
      <c r="D4" s="42">
        <v>283.45999999999998</v>
      </c>
      <c r="E4" s="42">
        <v>-2.11</v>
      </c>
      <c r="F4" s="42">
        <v>-1.76</v>
      </c>
      <c r="G4" s="40" t="s">
        <v>267</v>
      </c>
      <c r="P4" s="43">
        <v>45905</v>
      </c>
      <c r="Q4" s="42">
        <v>285.39999999999998</v>
      </c>
      <c r="R4" s="42">
        <v>285.57</v>
      </c>
      <c r="S4" s="42">
        <v>283.45999999999998</v>
      </c>
      <c r="T4" s="42">
        <v>-2.11</v>
      </c>
      <c r="U4" s="42">
        <v>-1.76</v>
      </c>
      <c r="V4" s="40" t="s">
        <v>267</v>
      </c>
      <c r="AF4" s="43">
        <v>45905</v>
      </c>
      <c r="AG4" s="42">
        <v>285.39999999999998</v>
      </c>
      <c r="AH4" s="42">
        <v>285.57</v>
      </c>
      <c r="AI4" s="42">
        <v>283.45999999999998</v>
      </c>
      <c r="AJ4" s="42">
        <v>-2.11</v>
      </c>
      <c r="AK4" s="42">
        <v>-1.76</v>
      </c>
      <c r="AL4" s="40" t="s">
        <v>267</v>
      </c>
    </row>
    <row r="5" spans="1:38" x14ac:dyDescent="0.35">
      <c r="A5" s="43">
        <v>45904</v>
      </c>
      <c r="B5" s="42">
        <v>282</v>
      </c>
      <c r="C5" s="42">
        <v>285.58</v>
      </c>
      <c r="D5" s="42">
        <v>283.11</v>
      </c>
      <c r="E5" s="42">
        <v>-2.4700000000000002</v>
      </c>
      <c r="F5" s="42">
        <v>-1.74</v>
      </c>
      <c r="G5" s="40" t="s">
        <v>267</v>
      </c>
      <c r="P5" s="43">
        <v>45904</v>
      </c>
      <c r="Q5" s="42">
        <v>282</v>
      </c>
      <c r="R5" s="42">
        <v>285.58</v>
      </c>
      <c r="S5" s="42">
        <v>283.11</v>
      </c>
      <c r="T5" s="42">
        <v>-2.4700000000000002</v>
      </c>
      <c r="U5" s="42">
        <v>-1.74</v>
      </c>
      <c r="V5" s="40" t="s">
        <v>267</v>
      </c>
      <c r="AF5" s="43">
        <v>45904</v>
      </c>
      <c r="AG5" s="42">
        <v>282</v>
      </c>
      <c r="AH5" s="42">
        <v>285.58</v>
      </c>
      <c r="AI5" s="42">
        <v>283.11</v>
      </c>
      <c r="AJ5" s="42">
        <v>-2.4700000000000002</v>
      </c>
      <c r="AK5" s="42">
        <v>-1.74</v>
      </c>
      <c r="AL5" s="40" t="s">
        <v>267</v>
      </c>
    </row>
    <row r="6" spans="1:38" x14ac:dyDescent="0.35">
      <c r="A6" s="43">
        <v>45903</v>
      </c>
      <c r="B6" s="42">
        <v>286</v>
      </c>
      <c r="C6" s="42">
        <v>285.87</v>
      </c>
      <c r="D6" s="42">
        <v>283.31</v>
      </c>
      <c r="E6" s="42">
        <v>-2.56</v>
      </c>
      <c r="F6" s="42">
        <v>-1.7</v>
      </c>
      <c r="G6" s="40" t="s">
        <v>267</v>
      </c>
      <c r="P6" s="43">
        <v>45903</v>
      </c>
      <c r="Q6" s="42">
        <v>286</v>
      </c>
      <c r="R6" s="42">
        <v>285.87</v>
      </c>
      <c r="S6" s="42">
        <v>283.31</v>
      </c>
      <c r="T6" s="42">
        <v>-2.56</v>
      </c>
      <c r="U6" s="42">
        <v>-1.7</v>
      </c>
      <c r="V6" s="40" t="s">
        <v>267</v>
      </c>
      <c r="AF6" s="43">
        <v>45903</v>
      </c>
      <c r="AG6" s="42">
        <v>286</v>
      </c>
      <c r="AH6" s="42">
        <v>285.87</v>
      </c>
      <c r="AI6" s="42">
        <v>283.31</v>
      </c>
      <c r="AJ6" s="42">
        <v>-2.56</v>
      </c>
      <c r="AK6" s="42">
        <v>-1.7</v>
      </c>
      <c r="AL6" s="40" t="s">
        <v>267</v>
      </c>
    </row>
    <row r="7" spans="1:38" x14ac:dyDescent="0.35">
      <c r="A7" s="43">
        <v>45902</v>
      </c>
      <c r="B7" s="42">
        <v>286.64999999999998</v>
      </c>
      <c r="C7" s="42">
        <v>285.86</v>
      </c>
      <c r="D7" s="42">
        <v>282.82</v>
      </c>
      <c r="E7" s="42">
        <v>-3.04</v>
      </c>
      <c r="F7" s="42">
        <v>-1.65</v>
      </c>
      <c r="G7" s="40" t="s">
        <v>267</v>
      </c>
      <c r="P7" s="43">
        <v>45902</v>
      </c>
      <c r="Q7" s="42">
        <v>286.64999999999998</v>
      </c>
      <c r="R7" s="42">
        <v>285.86</v>
      </c>
      <c r="S7" s="42">
        <v>282.82</v>
      </c>
      <c r="T7" s="42">
        <v>-3.04</v>
      </c>
      <c r="U7" s="42">
        <v>-1.65</v>
      </c>
      <c r="V7" s="40" t="s">
        <v>267</v>
      </c>
      <c r="AF7" s="43">
        <v>45902</v>
      </c>
      <c r="AG7" s="42">
        <v>286.64999999999998</v>
      </c>
      <c r="AH7" s="42">
        <v>285.86</v>
      </c>
      <c r="AI7" s="42">
        <v>282.82</v>
      </c>
      <c r="AJ7" s="42">
        <v>-3.04</v>
      </c>
      <c r="AK7" s="42">
        <v>-1.65</v>
      </c>
      <c r="AL7" s="40" t="s">
        <v>267</v>
      </c>
    </row>
    <row r="8" spans="1:38" x14ac:dyDescent="0.35">
      <c r="A8" s="43">
        <v>45901</v>
      </c>
      <c r="B8" s="42">
        <v>279.85000000000002</v>
      </c>
      <c r="C8" s="42">
        <v>285.79000000000002</v>
      </c>
      <c r="D8" s="42">
        <v>282.12</v>
      </c>
      <c r="E8" s="42">
        <v>-3.67</v>
      </c>
      <c r="F8" s="42">
        <v>-1.58</v>
      </c>
      <c r="G8" s="40" t="s">
        <v>267</v>
      </c>
      <c r="P8" s="43">
        <v>45901</v>
      </c>
      <c r="Q8" s="42">
        <v>279.85000000000002</v>
      </c>
      <c r="R8" s="42">
        <v>285.79000000000002</v>
      </c>
      <c r="S8" s="42">
        <v>282.12</v>
      </c>
      <c r="T8" s="42">
        <v>-3.67</v>
      </c>
      <c r="U8" s="42">
        <v>-1.58</v>
      </c>
      <c r="V8" s="40" t="s">
        <v>267</v>
      </c>
      <c r="AF8" s="43">
        <v>45901</v>
      </c>
      <c r="AG8" s="42">
        <v>279.85000000000002</v>
      </c>
      <c r="AH8" s="42">
        <v>285.79000000000002</v>
      </c>
      <c r="AI8" s="42">
        <v>282.12</v>
      </c>
      <c r="AJ8" s="42">
        <v>-3.67</v>
      </c>
      <c r="AK8" s="42">
        <v>-1.58</v>
      </c>
      <c r="AL8" s="40" t="s">
        <v>267</v>
      </c>
    </row>
    <row r="9" spans="1:38" x14ac:dyDescent="0.35">
      <c r="A9" s="43">
        <v>45898</v>
      </c>
      <c r="B9" s="42">
        <v>275.35000000000002</v>
      </c>
      <c r="C9" s="42">
        <v>286.27</v>
      </c>
      <c r="D9" s="42">
        <v>282.52999999999997</v>
      </c>
      <c r="E9" s="42">
        <v>-3.73</v>
      </c>
      <c r="F9" s="42">
        <v>-1.46</v>
      </c>
      <c r="G9" s="40" t="s">
        <v>267</v>
      </c>
      <c r="P9" s="43">
        <v>45898</v>
      </c>
      <c r="Q9" s="42">
        <v>275.35000000000002</v>
      </c>
      <c r="R9" s="42">
        <v>286.27</v>
      </c>
      <c r="S9" s="42">
        <v>282.52999999999997</v>
      </c>
      <c r="T9" s="42">
        <v>-3.73</v>
      </c>
      <c r="U9" s="42">
        <v>-1.46</v>
      </c>
      <c r="V9" s="40" t="s">
        <v>267</v>
      </c>
      <c r="AF9" s="43">
        <v>45898</v>
      </c>
      <c r="AG9" s="42">
        <v>275.35000000000002</v>
      </c>
      <c r="AH9" s="42">
        <v>286.27</v>
      </c>
      <c r="AI9" s="42">
        <v>282.52999999999997</v>
      </c>
      <c r="AJ9" s="42">
        <v>-3.73</v>
      </c>
      <c r="AK9" s="42">
        <v>-1.46</v>
      </c>
      <c r="AL9" s="40" t="s">
        <v>267</v>
      </c>
    </row>
    <row r="10" spans="1:38" x14ac:dyDescent="0.35">
      <c r="A10" s="43">
        <v>45897</v>
      </c>
      <c r="B10" s="42">
        <v>274.5</v>
      </c>
      <c r="C10" s="42">
        <v>287.14</v>
      </c>
      <c r="D10" s="42">
        <v>283.83999999999997</v>
      </c>
      <c r="E10" s="42">
        <v>-3.3</v>
      </c>
      <c r="F10" s="42">
        <v>-1.34</v>
      </c>
      <c r="G10" s="40" t="s">
        <v>267</v>
      </c>
      <c r="P10" s="43">
        <v>45897</v>
      </c>
      <c r="Q10" s="42">
        <v>274.5</v>
      </c>
      <c r="R10" s="42">
        <v>287.14</v>
      </c>
      <c r="S10" s="42">
        <v>283.83999999999997</v>
      </c>
      <c r="T10" s="42">
        <v>-3.3</v>
      </c>
      <c r="U10" s="42">
        <v>-1.34</v>
      </c>
      <c r="V10" s="40" t="s">
        <v>267</v>
      </c>
      <c r="AF10" s="43">
        <v>45897</v>
      </c>
      <c r="AG10" s="42">
        <v>274.5</v>
      </c>
      <c r="AH10" s="42">
        <v>287.14</v>
      </c>
      <c r="AI10" s="42">
        <v>283.83999999999997</v>
      </c>
      <c r="AJ10" s="42">
        <v>-3.3</v>
      </c>
      <c r="AK10" s="42">
        <v>-1.34</v>
      </c>
      <c r="AL10" s="40" t="s">
        <v>267</v>
      </c>
    </row>
    <row r="11" spans="1:38" x14ac:dyDescent="0.35">
      <c r="A11" s="43">
        <v>45895</v>
      </c>
      <c r="B11" s="42">
        <v>279.8</v>
      </c>
      <c r="C11" s="42">
        <v>288.14999999999998</v>
      </c>
      <c r="D11" s="42">
        <v>285.54000000000002</v>
      </c>
      <c r="E11" s="42">
        <v>-2.61</v>
      </c>
      <c r="F11" s="42">
        <v>-1.23</v>
      </c>
      <c r="G11" s="40" t="s">
        <v>267</v>
      </c>
      <c r="P11" s="43">
        <v>45895</v>
      </c>
      <c r="Q11" s="42">
        <v>279.8</v>
      </c>
      <c r="R11" s="42">
        <v>288.14999999999998</v>
      </c>
      <c r="S11" s="42">
        <v>285.54000000000002</v>
      </c>
      <c r="T11" s="42">
        <v>-2.61</v>
      </c>
      <c r="U11" s="42">
        <v>-1.23</v>
      </c>
      <c r="V11" s="40" t="s">
        <v>267</v>
      </c>
      <c r="AF11" s="43">
        <v>45895</v>
      </c>
      <c r="AG11" s="42">
        <v>279.8</v>
      </c>
      <c r="AH11" s="42">
        <v>288.14999999999998</v>
      </c>
      <c r="AI11" s="42">
        <v>285.54000000000002</v>
      </c>
      <c r="AJ11" s="42">
        <v>-2.61</v>
      </c>
      <c r="AK11" s="42">
        <v>-1.23</v>
      </c>
      <c r="AL11" s="40" t="s">
        <v>267</v>
      </c>
    </row>
    <row r="12" spans="1:38" x14ac:dyDescent="0.35">
      <c r="A12" s="43">
        <v>45894</v>
      </c>
      <c r="B12" s="42">
        <v>284.14999999999998</v>
      </c>
      <c r="C12" s="42">
        <v>288.82</v>
      </c>
      <c r="D12" s="42">
        <v>286.58</v>
      </c>
      <c r="E12" s="42">
        <v>-2.2400000000000002</v>
      </c>
      <c r="F12" s="42">
        <v>-1.1599999999999999</v>
      </c>
      <c r="G12" s="40" t="s">
        <v>267</v>
      </c>
      <c r="P12" s="43">
        <v>45894</v>
      </c>
      <c r="Q12" s="42">
        <v>284.14999999999998</v>
      </c>
      <c r="R12" s="42">
        <v>288.82</v>
      </c>
      <c r="S12" s="42">
        <v>286.58</v>
      </c>
      <c r="T12" s="42">
        <v>-2.2400000000000002</v>
      </c>
      <c r="U12" s="42">
        <v>-1.1599999999999999</v>
      </c>
      <c r="V12" s="40" t="s">
        <v>267</v>
      </c>
      <c r="AF12" s="43">
        <v>45894</v>
      </c>
      <c r="AG12" s="42">
        <v>284.14999999999998</v>
      </c>
      <c r="AH12" s="42">
        <v>288.82</v>
      </c>
      <c r="AI12" s="42">
        <v>286.58</v>
      </c>
      <c r="AJ12" s="42">
        <v>-2.2400000000000002</v>
      </c>
      <c r="AK12" s="42">
        <v>-1.1599999999999999</v>
      </c>
      <c r="AL12" s="40" t="s">
        <v>267</v>
      </c>
    </row>
    <row r="13" spans="1:38" x14ac:dyDescent="0.35">
      <c r="A13" s="43">
        <v>45891</v>
      </c>
      <c r="B13" s="42">
        <v>283.35000000000002</v>
      </c>
      <c r="C13" s="42">
        <v>289.19</v>
      </c>
      <c r="D13" s="42">
        <v>287.02</v>
      </c>
      <c r="E13" s="42">
        <v>-2.17</v>
      </c>
      <c r="F13" s="42">
        <v>-1.1000000000000001</v>
      </c>
      <c r="G13" s="40" t="s">
        <v>267</v>
      </c>
      <c r="P13" s="43">
        <v>45891</v>
      </c>
      <c r="Q13" s="42">
        <v>283.35000000000002</v>
      </c>
      <c r="R13" s="42">
        <v>289.19</v>
      </c>
      <c r="S13" s="42">
        <v>287.02</v>
      </c>
      <c r="T13" s="42">
        <v>-2.17</v>
      </c>
      <c r="U13" s="42">
        <v>-1.1000000000000001</v>
      </c>
      <c r="V13" s="40" t="s">
        <v>267</v>
      </c>
      <c r="AF13" s="43">
        <v>45891</v>
      </c>
      <c r="AG13" s="42">
        <v>283.35000000000002</v>
      </c>
      <c r="AH13" s="42">
        <v>289.19</v>
      </c>
      <c r="AI13" s="42">
        <v>287.02</v>
      </c>
      <c r="AJ13" s="42">
        <v>-2.17</v>
      </c>
      <c r="AK13" s="42">
        <v>-1.1000000000000001</v>
      </c>
      <c r="AL13" s="40" t="s">
        <v>267</v>
      </c>
    </row>
    <row r="14" spans="1:38" x14ac:dyDescent="0.35">
      <c r="A14" s="43">
        <v>45890</v>
      </c>
      <c r="B14" s="42">
        <v>284</v>
      </c>
      <c r="C14" s="42">
        <v>289.66000000000003</v>
      </c>
      <c r="D14" s="42">
        <v>287.69</v>
      </c>
      <c r="E14" s="42">
        <v>-1.97</v>
      </c>
      <c r="F14" s="42">
        <v>-1.04</v>
      </c>
      <c r="G14" s="40" t="s">
        <v>267</v>
      </c>
      <c r="P14" s="43">
        <v>45890</v>
      </c>
      <c r="Q14" s="42">
        <v>284</v>
      </c>
      <c r="R14" s="42">
        <v>289.66000000000003</v>
      </c>
      <c r="S14" s="42">
        <v>287.69</v>
      </c>
      <c r="T14" s="42">
        <v>-1.97</v>
      </c>
      <c r="U14" s="42">
        <v>-1.04</v>
      </c>
      <c r="V14" s="40" t="s">
        <v>267</v>
      </c>
      <c r="AF14" s="43">
        <v>45890</v>
      </c>
      <c r="AG14" s="42">
        <v>284</v>
      </c>
      <c r="AH14" s="42">
        <v>289.66000000000003</v>
      </c>
      <c r="AI14" s="42">
        <v>287.69</v>
      </c>
      <c r="AJ14" s="42">
        <v>-1.97</v>
      </c>
      <c r="AK14" s="42">
        <v>-1.04</v>
      </c>
      <c r="AL14" s="40" t="s">
        <v>267</v>
      </c>
    </row>
    <row r="15" spans="1:38" x14ac:dyDescent="0.35">
      <c r="A15" s="43">
        <v>45889</v>
      </c>
      <c r="B15" s="42">
        <v>288.35000000000002</v>
      </c>
      <c r="C15" s="42">
        <v>290.12</v>
      </c>
      <c r="D15" s="42">
        <v>288.36</v>
      </c>
      <c r="E15" s="42">
        <v>-1.75</v>
      </c>
      <c r="F15" s="42">
        <v>-0.99</v>
      </c>
      <c r="G15" s="40" t="s">
        <v>267</v>
      </c>
      <c r="P15" s="43">
        <v>45889</v>
      </c>
      <c r="Q15" s="42">
        <v>288.35000000000002</v>
      </c>
      <c r="R15" s="42">
        <v>290.12</v>
      </c>
      <c r="S15" s="42">
        <v>288.36</v>
      </c>
      <c r="T15" s="42">
        <v>-1.75</v>
      </c>
      <c r="U15" s="42">
        <v>-0.99</v>
      </c>
      <c r="V15" s="40" t="s">
        <v>267</v>
      </c>
      <c r="AF15" s="43">
        <v>45889</v>
      </c>
      <c r="AG15" s="42">
        <v>288.35000000000002</v>
      </c>
      <c r="AH15" s="42">
        <v>290.12</v>
      </c>
      <c r="AI15" s="42">
        <v>288.36</v>
      </c>
      <c r="AJ15" s="42">
        <v>-1.75</v>
      </c>
      <c r="AK15" s="42">
        <v>-0.99</v>
      </c>
      <c r="AL15" s="40" t="s">
        <v>267</v>
      </c>
    </row>
    <row r="16" spans="1:38" x14ac:dyDescent="0.35">
      <c r="A16" s="43">
        <v>45888</v>
      </c>
      <c r="B16" s="42">
        <v>288</v>
      </c>
      <c r="C16" s="42">
        <v>290.26</v>
      </c>
      <c r="D16" s="42">
        <v>288.37</v>
      </c>
      <c r="E16" s="42">
        <v>-1.89</v>
      </c>
      <c r="F16" s="42">
        <v>-0.95</v>
      </c>
      <c r="G16" s="40" t="s">
        <v>267</v>
      </c>
      <c r="P16" s="43">
        <v>45888</v>
      </c>
      <c r="Q16" s="42">
        <v>288</v>
      </c>
      <c r="R16" s="42">
        <v>290.26</v>
      </c>
      <c r="S16" s="42">
        <v>288.37</v>
      </c>
      <c r="T16" s="42">
        <v>-1.89</v>
      </c>
      <c r="U16" s="42">
        <v>-0.95</v>
      </c>
      <c r="V16" s="40" t="s">
        <v>267</v>
      </c>
      <c r="AF16" s="43">
        <v>45888</v>
      </c>
      <c r="AG16" s="42">
        <v>288</v>
      </c>
      <c r="AH16" s="42">
        <v>290.26</v>
      </c>
      <c r="AI16" s="42">
        <v>288.37</v>
      </c>
      <c r="AJ16" s="42">
        <v>-1.89</v>
      </c>
      <c r="AK16" s="42">
        <v>-0.95</v>
      </c>
      <c r="AL16" s="40" t="s">
        <v>267</v>
      </c>
    </row>
    <row r="17" spans="1:38" x14ac:dyDescent="0.35">
      <c r="A17" s="43">
        <v>45887</v>
      </c>
      <c r="B17" s="42">
        <v>290.55</v>
      </c>
      <c r="C17" s="42">
        <v>290.44</v>
      </c>
      <c r="D17" s="42">
        <v>288.43</v>
      </c>
      <c r="E17" s="42">
        <v>-2</v>
      </c>
      <c r="F17" s="42">
        <v>-0.9</v>
      </c>
      <c r="G17" s="40" t="s">
        <v>267</v>
      </c>
      <c r="P17" s="43">
        <v>45887</v>
      </c>
      <c r="Q17" s="42">
        <v>290.55</v>
      </c>
      <c r="R17" s="42">
        <v>290.44</v>
      </c>
      <c r="S17" s="42">
        <v>288.43</v>
      </c>
      <c r="T17" s="42">
        <v>-2</v>
      </c>
      <c r="U17" s="42">
        <v>-0.9</v>
      </c>
      <c r="V17" s="40" t="s">
        <v>267</v>
      </c>
      <c r="AF17" s="43">
        <v>45887</v>
      </c>
      <c r="AG17" s="42">
        <v>290.55</v>
      </c>
      <c r="AH17" s="42">
        <v>290.44</v>
      </c>
      <c r="AI17" s="42">
        <v>288.43</v>
      </c>
      <c r="AJ17" s="42">
        <v>-2</v>
      </c>
      <c r="AK17" s="42">
        <v>-0.9</v>
      </c>
      <c r="AL17" s="40" t="s">
        <v>267</v>
      </c>
    </row>
    <row r="18" spans="1:38" x14ac:dyDescent="0.35">
      <c r="A18" s="43">
        <v>45883</v>
      </c>
      <c r="B18" s="42">
        <v>288.64999999999998</v>
      </c>
      <c r="C18" s="42">
        <v>290.43</v>
      </c>
      <c r="D18" s="42">
        <v>288.05</v>
      </c>
      <c r="E18" s="42">
        <v>-2.38</v>
      </c>
      <c r="F18" s="42">
        <v>-0.84</v>
      </c>
      <c r="G18" s="40" t="s">
        <v>267</v>
      </c>
      <c r="P18" s="43">
        <v>45883</v>
      </c>
      <c r="Q18" s="42">
        <v>288.64999999999998</v>
      </c>
      <c r="R18" s="42">
        <v>290.43</v>
      </c>
      <c r="S18" s="42">
        <v>288.05</v>
      </c>
      <c r="T18" s="42">
        <v>-2.38</v>
      </c>
      <c r="U18" s="42">
        <v>-0.84</v>
      </c>
      <c r="V18" s="40" t="s">
        <v>267</v>
      </c>
      <c r="AF18" s="43">
        <v>45883</v>
      </c>
      <c r="AG18" s="42">
        <v>288.64999999999998</v>
      </c>
      <c r="AH18" s="42">
        <v>290.43</v>
      </c>
      <c r="AI18" s="42">
        <v>288.05</v>
      </c>
      <c r="AJ18" s="42">
        <v>-2.38</v>
      </c>
      <c r="AK18" s="42">
        <v>-0.84</v>
      </c>
      <c r="AL18" s="40" t="s">
        <v>267</v>
      </c>
    </row>
    <row r="19" spans="1:38" x14ac:dyDescent="0.35">
      <c r="A19" s="43">
        <v>45882</v>
      </c>
      <c r="B19" s="42">
        <v>288.45</v>
      </c>
      <c r="C19" s="42">
        <v>290.57</v>
      </c>
      <c r="D19" s="42">
        <v>287.94</v>
      </c>
      <c r="E19" s="42">
        <v>-2.63</v>
      </c>
      <c r="F19" s="42">
        <v>-0.76</v>
      </c>
      <c r="G19" s="40" t="s">
        <v>267</v>
      </c>
      <c r="P19" s="43">
        <v>45882</v>
      </c>
      <c r="Q19" s="42">
        <v>288.45</v>
      </c>
      <c r="R19" s="42">
        <v>290.57</v>
      </c>
      <c r="S19" s="42">
        <v>287.94</v>
      </c>
      <c r="T19" s="42">
        <v>-2.63</v>
      </c>
      <c r="U19" s="42">
        <v>-0.76</v>
      </c>
      <c r="V19" s="40" t="s">
        <v>267</v>
      </c>
      <c r="AF19" s="43">
        <v>45882</v>
      </c>
      <c r="AG19" s="42">
        <v>288.45</v>
      </c>
      <c r="AH19" s="42">
        <v>290.57</v>
      </c>
      <c r="AI19" s="42">
        <v>287.94</v>
      </c>
      <c r="AJ19" s="42">
        <v>-2.63</v>
      </c>
      <c r="AK19" s="42">
        <v>-0.76</v>
      </c>
      <c r="AL19" s="40" t="s">
        <v>267</v>
      </c>
    </row>
    <row r="20" spans="1:38" x14ac:dyDescent="0.35">
      <c r="A20" s="43">
        <v>45881</v>
      </c>
      <c r="B20" s="42">
        <v>284.64999999999998</v>
      </c>
      <c r="C20" s="42">
        <v>290.74</v>
      </c>
      <c r="D20" s="42">
        <v>287.85000000000002</v>
      </c>
      <c r="E20" s="42">
        <v>-2.89</v>
      </c>
      <c r="F20" s="42">
        <v>-0.66</v>
      </c>
      <c r="G20" s="40" t="s">
        <v>267</v>
      </c>
      <c r="P20" s="43">
        <v>45881</v>
      </c>
      <c r="Q20" s="42">
        <v>284.64999999999998</v>
      </c>
      <c r="R20" s="42">
        <v>290.74</v>
      </c>
      <c r="S20" s="42">
        <v>287.85000000000002</v>
      </c>
      <c r="T20" s="42">
        <v>-2.89</v>
      </c>
      <c r="U20" s="42">
        <v>-0.66</v>
      </c>
      <c r="V20" s="40" t="s">
        <v>267</v>
      </c>
      <c r="AF20" s="43">
        <v>45881</v>
      </c>
      <c r="AG20" s="42">
        <v>284.64999999999998</v>
      </c>
      <c r="AH20" s="42">
        <v>290.74</v>
      </c>
      <c r="AI20" s="42">
        <v>287.85000000000002</v>
      </c>
      <c r="AJ20" s="42">
        <v>-2.89</v>
      </c>
      <c r="AK20" s="42">
        <v>-0.66</v>
      </c>
      <c r="AL20" s="40" t="s">
        <v>267</v>
      </c>
    </row>
    <row r="21" spans="1:38" x14ac:dyDescent="0.35">
      <c r="A21" s="43">
        <v>45880</v>
      </c>
      <c r="B21" s="42">
        <v>284.89999999999998</v>
      </c>
      <c r="C21" s="42">
        <v>291.23</v>
      </c>
      <c r="D21" s="42">
        <v>288.43</v>
      </c>
      <c r="E21" s="42">
        <v>-2.8</v>
      </c>
      <c r="F21" s="42">
        <v>-0.53</v>
      </c>
      <c r="G21" s="40" t="s">
        <v>267</v>
      </c>
      <c r="P21" s="43">
        <v>45880</v>
      </c>
      <c r="Q21" s="42">
        <v>284.89999999999998</v>
      </c>
      <c r="R21" s="42">
        <v>291.23</v>
      </c>
      <c r="S21" s="42">
        <v>288.43</v>
      </c>
      <c r="T21" s="42">
        <v>-2.8</v>
      </c>
      <c r="U21" s="42">
        <v>-0.53</v>
      </c>
      <c r="V21" s="40" t="s">
        <v>267</v>
      </c>
      <c r="AF21" s="43">
        <v>45880</v>
      </c>
      <c r="AG21" s="42">
        <v>284.89999999999998</v>
      </c>
      <c r="AH21" s="42">
        <v>291.23</v>
      </c>
      <c r="AI21" s="42">
        <v>288.43</v>
      </c>
      <c r="AJ21" s="42">
        <v>-2.8</v>
      </c>
      <c r="AK21" s="42">
        <v>-0.53</v>
      </c>
      <c r="AL21" s="40" t="s">
        <v>267</v>
      </c>
    </row>
    <row r="22" spans="1:38" x14ac:dyDescent="0.35">
      <c r="A22" s="43">
        <v>45877</v>
      </c>
      <c r="B22" s="42">
        <v>284.89999999999998</v>
      </c>
      <c r="C22" s="42">
        <v>291.73</v>
      </c>
      <c r="D22" s="42">
        <v>289.07</v>
      </c>
      <c r="E22" s="42">
        <v>-2.67</v>
      </c>
      <c r="F22" s="42">
        <v>-0.41</v>
      </c>
      <c r="G22" s="40" t="s">
        <v>267</v>
      </c>
      <c r="P22" s="43">
        <v>45877</v>
      </c>
      <c r="Q22" s="42">
        <v>284.89999999999998</v>
      </c>
      <c r="R22" s="42">
        <v>291.73</v>
      </c>
      <c r="S22" s="42">
        <v>289.07</v>
      </c>
      <c r="T22" s="42">
        <v>-2.67</v>
      </c>
      <c r="U22" s="42">
        <v>-0.41</v>
      </c>
      <c r="V22" s="40" t="s">
        <v>267</v>
      </c>
      <c r="AF22" s="43">
        <v>45877</v>
      </c>
      <c r="AG22" s="42">
        <v>284.89999999999998</v>
      </c>
      <c r="AH22" s="42">
        <v>291.73</v>
      </c>
      <c r="AI22" s="42">
        <v>289.07</v>
      </c>
      <c r="AJ22" s="42">
        <v>-2.67</v>
      </c>
      <c r="AK22" s="42">
        <v>-0.41</v>
      </c>
      <c r="AL22" s="40" t="s">
        <v>267</v>
      </c>
    </row>
    <row r="23" spans="1:38" x14ac:dyDescent="0.35">
      <c r="A23" s="43">
        <v>45876</v>
      </c>
      <c r="B23" s="42">
        <v>285.64999999999998</v>
      </c>
      <c r="C23" s="42">
        <v>292.27999999999997</v>
      </c>
      <c r="D23" s="42">
        <v>289.83</v>
      </c>
      <c r="E23" s="42">
        <v>-2.4500000000000002</v>
      </c>
      <c r="F23" s="42">
        <v>-0.28999999999999998</v>
      </c>
      <c r="G23" s="40" t="s">
        <v>267</v>
      </c>
      <c r="P23" s="43">
        <v>45876</v>
      </c>
      <c r="Q23" s="42">
        <v>285.64999999999998</v>
      </c>
      <c r="R23" s="42">
        <v>292.27999999999997</v>
      </c>
      <c r="S23" s="42">
        <v>289.83</v>
      </c>
      <c r="T23" s="42">
        <v>-2.4500000000000002</v>
      </c>
      <c r="U23" s="42">
        <v>-0.28999999999999998</v>
      </c>
      <c r="V23" s="40" t="s">
        <v>267</v>
      </c>
      <c r="AF23" s="43">
        <v>45876</v>
      </c>
      <c r="AG23" s="42">
        <v>285.64999999999998</v>
      </c>
      <c r="AH23" s="42">
        <v>292.27999999999997</v>
      </c>
      <c r="AI23" s="42">
        <v>289.83</v>
      </c>
      <c r="AJ23" s="42">
        <v>-2.4500000000000002</v>
      </c>
      <c r="AK23" s="42">
        <v>-0.28999999999999998</v>
      </c>
      <c r="AL23" s="40" t="s">
        <v>267</v>
      </c>
    </row>
    <row r="24" spans="1:38" x14ac:dyDescent="0.35">
      <c r="A24" s="43">
        <v>45875</v>
      </c>
      <c r="B24" s="42">
        <v>284.8</v>
      </c>
      <c r="C24" s="42">
        <v>292.81</v>
      </c>
      <c r="D24" s="42">
        <v>290.58</v>
      </c>
      <c r="E24" s="42">
        <v>-2.23</v>
      </c>
      <c r="F24" s="42">
        <v>-0.17</v>
      </c>
      <c r="G24" s="40" t="s">
        <v>267</v>
      </c>
      <c r="P24" s="43">
        <v>45875</v>
      </c>
      <c r="Q24" s="42">
        <v>284.8</v>
      </c>
      <c r="R24" s="42">
        <v>292.81</v>
      </c>
      <c r="S24" s="42">
        <v>290.58</v>
      </c>
      <c r="T24" s="42">
        <v>-2.23</v>
      </c>
      <c r="U24" s="42">
        <v>-0.17</v>
      </c>
      <c r="V24" s="40" t="s">
        <v>267</v>
      </c>
      <c r="AF24" s="43">
        <v>45875</v>
      </c>
      <c r="AG24" s="42">
        <v>284.8</v>
      </c>
      <c r="AH24" s="42">
        <v>292.81</v>
      </c>
      <c r="AI24" s="42">
        <v>290.58</v>
      </c>
      <c r="AJ24" s="42">
        <v>-2.23</v>
      </c>
      <c r="AK24" s="42">
        <v>-0.17</v>
      </c>
      <c r="AL24" s="40" t="s">
        <v>267</v>
      </c>
    </row>
    <row r="25" spans="1:38" x14ac:dyDescent="0.35">
      <c r="A25" s="43">
        <v>45874</v>
      </c>
      <c r="B25" s="42">
        <v>285.95</v>
      </c>
      <c r="C25" s="42">
        <v>293.45</v>
      </c>
      <c r="D25" s="42">
        <v>291.64</v>
      </c>
      <c r="E25" s="42">
        <v>-1.81</v>
      </c>
      <c r="F25" s="42">
        <v>-0.06</v>
      </c>
      <c r="G25" s="40" t="s">
        <v>267</v>
      </c>
      <c r="P25" s="43">
        <v>45874</v>
      </c>
      <c r="Q25" s="42">
        <v>285.95</v>
      </c>
      <c r="R25" s="42">
        <v>293.45</v>
      </c>
      <c r="S25" s="42">
        <v>291.64</v>
      </c>
      <c r="T25" s="42">
        <v>-1.81</v>
      </c>
      <c r="U25" s="42">
        <v>-0.06</v>
      </c>
      <c r="V25" s="40" t="s">
        <v>267</v>
      </c>
      <c r="AF25" s="43">
        <v>45874</v>
      </c>
      <c r="AG25" s="42">
        <v>285.95</v>
      </c>
      <c r="AH25" s="42">
        <v>293.45</v>
      </c>
      <c r="AI25" s="42">
        <v>291.64</v>
      </c>
      <c r="AJ25" s="42">
        <v>-1.81</v>
      </c>
      <c r="AK25" s="42">
        <v>-0.06</v>
      </c>
      <c r="AL25" s="40" t="s">
        <v>267</v>
      </c>
    </row>
    <row r="26" spans="1:38" x14ac:dyDescent="0.35">
      <c r="A26" s="43">
        <v>45873</v>
      </c>
      <c r="B26" s="42">
        <v>288</v>
      </c>
      <c r="C26" s="42">
        <v>294.05</v>
      </c>
      <c r="D26" s="42">
        <v>292.67</v>
      </c>
      <c r="E26" s="42">
        <v>-1.38</v>
      </c>
      <c r="F26" s="42">
        <v>0.03</v>
      </c>
      <c r="G26" s="40" t="s">
        <v>267</v>
      </c>
      <c r="P26" s="43">
        <v>45873</v>
      </c>
      <c r="Q26" s="42">
        <v>288</v>
      </c>
      <c r="R26" s="42">
        <v>294.05</v>
      </c>
      <c r="S26" s="42">
        <v>292.67</v>
      </c>
      <c r="T26" s="42">
        <v>-1.38</v>
      </c>
      <c r="U26" s="42">
        <v>0.03</v>
      </c>
      <c r="V26" s="40" t="s">
        <v>267</v>
      </c>
      <c r="AF26" s="43">
        <v>45873</v>
      </c>
      <c r="AG26" s="42">
        <v>288</v>
      </c>
      <c r="AH26" s="42">
        <v>294.05</v>
      </c>
      <c r="AI26" s="42">
        <v>292.67</v>
      </c>
      <c r="AJ26" s="42">
        <v>-1.38</v>
      </c>
      <c r="AK26" s="42">
        <v>0.03</v>
      </c>
      <c r="AL26" s="40" t="s">
        <v>267</v>
      </c>
    </row>
    <row r="27" spans="1:38" x14ac:dyDescent="0.35">
      <c r="A27" s="43">
        <v>45870</v>
      </c>
      <c r="B27" s="42">
        <v>291.2</v>
      </c>
      <c r="C27" s="42">
        <v>294.54000000000002</v>
      </c>
      <c r="D27" s="42">
        <v>293.52</v>
      </c>
      <c r="E27" s="42">
        <v>-1.02</v>
      </c>
      <c r="F27" s="42">
        <v>0.11</v>
      </c>
      <c r="G27" s="40" t="s">
        <v>267</v>
      </c>
      <c r="P27" s="43">
        <v>45870</v>
      </c>
      <c r="Q27" s="42">
        <v>291.2</v>
      </c>
      <c r="R27" s="42">
        <v>294.54000000000002</v>
      </c>
      <c r="S27" s="42">
        <v>293.52</v>
      </c>
      <c r="T27" s="42">
        <v>-1.02</v>
      </c>
      <c r="U27" s="42">
        <v>0.11</v>
      </c>
      <c r="V27" s="40" t="s">
        <v>267</v>
      </c>
      <c r="AF27" s="43">
        <v>45870</v>
      </c>
      <c r="AG27" s="42">
        <v>291.2</v>
      </c>
      <c r="AH27" s="42">
        <v>294.54000000000002</v>
      </c>
      <c r="AI27" s="42">
        <v>293.52</v>
      </c>
      <c r="AJ27" s="42">
        <v>-1.02</v>
      </c>
      <c r="AK27" s="42">
        <v>0.11</v>
      </c>
      <c r="AL27" s="40" t="s">
        <v>267</v>
      </c>
    </row>
    <row r="28" spans="1:38" x14ac:dyDescent="0.35">
      <c r="A28" s="43">
        <v>45869</v>
      </c>
      <c r="B28" s="42">
        <v>290.95</v>
      </c>
      <c r="C28" s="42">
        <v>294.8</v>
      </c>
      <c r="D28" s="42">
        <v>293.94</v>
      </c>
      <c r="E28" s="42">
        <v>-0.86</v>
      </c>
      <c r="F28" s="42">
        <v>0.17</v>
      </c>
      <c r="G28" s="40" t="s">
        <v>267</v>
      </c>
      <c r="P28" s="43">
        <v>45869</v>
      </c>
      <c r="Q28" s="42">
        <v>290.95</v>
      </c>
      <c r="R28" s="42">
        <v>294.8</v>
      </c>
      <c r="S28" s="42">
        <v>293.94</v>
      </c>
      <c r="T28" s="42">
        <v>-0.86</v>
      </c>
      <c r="U28" s="42">
        <v>0.17</v>
      </c>
      <c r="V28" s="40" t="s">
        <v>267</v>
      </c>
      <c r="AF28" s="43">
        <v>45869</v>
      </c>
      <c r="AG28" s="42">
        <v>290.95</v>
      </c>
      <c r="AH28" s="42">
        <v>294.8</v>
      </c>
      <c r="AI28" s="42">
        <v>293.94</v>
      </c>
      <c r="AJ28" s="42">
        <v>-0.86</v>
      </c>
      <c r="AK28" s="42">
        <v>0.17</v>
      </c>
      <c r="AL28" s="40" t="s">
        <v>267</v>
      </c>
    </row>
    <row r="29" spans="1:38" x14ac:dyDescent="0.35">
      <c r="A29" s="43">
        <v>45868</v>
      </c>
      <c r="B29" s="42">
        <v>289.10000000000002</v>
      </c>
      <c r="C29" s="42">
        <v>295.11</v>
      </c>
      <c r="D29" s="42">
        <v>294.49</v>
      </c>
      <c r="E29" s="42">
        <v>-0.63</v>
      </c>
      <c r="F29" s="42">
        <v>0.23</v>
      </c>
      <c r="G29" s="40" t="s">
        <v>267</v>
      </c>
      <c r="P29" s="43">
        <v>45868</v>
      </c>
      <c r="Q29" s="42">
        <v>289.10000000000002</v>
      </c>
      <c r="R29" s="42">
        <v>295.11</v>
      </c>
      <c r="S29" s="42">
        <v>294.49</v>
      </c>
      <c r="T29" s="42">
        <v>-0.63</v>
      </c>
      <c r="U29" s="42">
        <v>0.23</v>
      </c>
      <c r="V29" s="40" t="s">
        <v>267</v>
      </c>
      <c r="AF29" s="43">
        <v>45868</v>
      </c>
      <c r="AG29" s="42">
        <v>289.10000000000002</v>
      </c>
      <c r="AH29" s="42">
        <v>295.11</v>
      </c>
      <c r="AI29" s="42">
        <v>294.49</v>
      </c>
      <c r="AJ29" s="42">
        <v>-0.63</v>
      </c>
      <c r="AK29" s="42">
        <v>0.23</v>
      </c>
      <c r="AL29" s="40" t="s">
        <v>267</v>
      </c>
    </row>
    <row r="30" spans="1:38" x14ac:dyDescent="0.35">
      <c r="A30" s="43">
        <v>45867</v>
      </c>
      <c r="B30" s="42">
        <v>293.14999999999998</v>
      </c>
      <c r="C30" s="42">
        <v>295.58999999999997</v>
      </c>
      <c r="D30" s="42">
        <v>295.45999999999998</v>
      </c>
      <c r="E30" s="42">
        <v>-0.13</v>
      </c>
      <c r="F30" s="42">
        <v>0.27</v>
      </c>
      <c r="G30" s="40" t="s">
        <v>267</v>
      </c>
      <c r="P30" s="43">
        <v>45867</v>
      </c>
      <c r="Q30" s="42">
        <v>293.14999999999998</v>
      </c>
      <c r="R30" s="42">
        <v>295.58999999999997</v>
      </c>
      <c r="S30" s="42">
        <v>295.45999999999998</v>
      </c>
      <c r="T30" s="42">
        <v>-0.13</v>
      </c>
      <c r="U30" s="42">
        <v>0.27</v>
      </c>
      <c r="V30" s="40" t="s">
        <v>267</v>
      </c>
      <c r="AF30" s="43">
        <v>45867</v>
      </c>
      <c r="AG30" s="42">
        <v>293.14999999999998</v>
      </c>
      <c r="AH30" s="42">
        <v>295.58999999999997</v>
      </c>
      <c r="AI30" s="42">
        <v>295.45999999999998</v>
      </c>
      <c r="AJ30" s="42">
        <v>-0.13</v>
      </c>
      <c r="AK30" s="42">
        <v>0.27</v>
      </c>
      <c r="AL30" s="40" t="s">
        <v>267</v>
      </c>
    </row>
    <row r="31" spans="1:38" x14ac:dyDescent="0.35">
      <c r="A31" s="43">
        <v>45866</v>
      </c>
      <c r="B31" s="42">
        <v>291.95</v>
      </c>
      <c r="C31" s="42">
        <v>295.79000000000002</v>
      </c>
      <c r="D31" s="42">
        <v>295.89</v>
      </c>
      <c r="E31" s="42">
        <v>0.1</v>
      </c>
      <c r="F31" s="42">
        <v>0.28999999999999998</v>
      </c>
      <c r="G31" s="40" t="s">
        <v>267</v>
      </c>
      <c r="P31" s="43">
        <v>45866</v>
      </c>
      <c r="Q31" s="42">
        <v>291.95</v>
      </c>
      <c r="R31" s="42">
        <v>295.79000000000002</v>
      </c>
      <c r="S31" s="42">
        <v>295.89</v>
      </c>
      <c r="T31" s="42">
        <v>0.1</v>
      </c>
      <c r="U31" s="42">
        <v>0.28999999999999998</v>
      </c>
      <c r="V31" s="40" t="s">
        <v>267</v>
      </c>
      <c r="AF31" s="43">
        <v>45866</v>
      </c>
      <c r="AG31" s="42">
        <v>291.95</v>
      </c>
      <c r="AH31" s="42">
        <v>295.79000000000002</v>
      </c>
      <c r="AI31" s="42">
        <v>295.89</v>
      </c>
      <c r="AJ31" s="42">
        <v>0.1</v>
      </c>
      <c r="AK31" s="42">
        <v>0.28999999999999998</v>
      </c>
      <c r="AL31" s="40" t="s">
        <v>267</v>
      </c>
    </row>
    <row r="32" spans="1:38" x14ac:dyDescent="0.35">
      <c r="A32" s="43">
        <v>45863</v>
      </c>
      <c r="B32" s="42">
        <v>291.8</v>
      </c>
      <c r="C32" s="42">
        <v>296.08999999999997</v>
      </c>
      <c r="D32" s="42">
        <v>296.60000000000002</v>
      </c>
      <c r="E32" s="42">
        <v>0.51</v>
      </c>
      <c r="F32" s="42">
        <v>0.3</v>
      </c>
      <c r="G32" s="40" t="s">
        <v>265</v>
      </c>
      <c r="P32" s="43">
        <v>45863</v>
      </c>
      <c r="Q32" s="42">
        <v>291.8</v>
      </c>
      <c r="R32" s="42">
        <v>296.08999999999997</v>
      </c>
      <c r="S32" s="42">
        <v>296.60000000000002</v>
      </c>
      <c r="T32" s="42">
        <v>0.51</v>
      </c>
      <c r="U32" s="42">
        <v>0.3</v>
      </c>
      <c r="V32" s="40" t="s">
        <v>265</v>
      </c>
      <c r="AF32" s="43">
        <v>45863</v>
      </c>
      <c r="AG32" s="42">
        <v>291.8</v>
      </c>
      <c r="AH32" s="42">
        <v>296.08999999999997</v>
      </c>
      <c r="AI32" s="42">
        <v>296.60000000000002</v>
      </c>
      <c r="AJ32" s="42">
        <v>0.51</v>
      </c>
      <c r="AK32" s="42">
        <v>0.3</v>
      </c>
      <c r="AL32" s="40" t="s">
        <v>265</v>
      </c>
    </row>
    <row r="33" spans="1:38" x14ac:dyDescent="0.35">
      <c r="A33" s="43">
        <v>45862</v>
      </c>
      <c r="B33" s="42">
        <v>299.25</v>
      </c>
      <c r="C33" s="42">
        <v>296.44</v>
      </c>
      <c r="D33" s="42">
        <v>297.47000000000003</v>
      </c>
      <c r="E33" s="42">
        <v>1.04</v>
      </c>
      <c r="F33" s="42">
        <v>0.28999999999999998</v>
      </c>
      <c r="G33" s="40" t="s">
        <v>265</v>
      </c>
      <c r="P33" s="43">
        <v>45862</v>
      </c>
      <c r="Q33" s="42">
        <v>299.25</v>
      </c>
      <c r="R33" s="42">
        <v>296.44</v>
      </c>
      <c r="S33" s="42">
        <v>297.47000000000003</v>
      </c>
      <c r="T33" s="42">
        <v>1.04</v>
      </c>
      <c r="U33" s="42">
        <v>0.28999999999999998</v>
      </c>
      <c r="V33" s="40" t="s">
        <v>265</v>
      </c>
      <c r="AF33" s="43">
        <v>45862</v>
      </c>
      <c r="AG33" s="42">
        <v>299.25</v>
      </c>
      <c r="AH33" s="42">
        <v>296.44</v>
      </c>
      <c r="AI33" s="42">
        <v>297.47000000000003</v>
      </c>
      <c r="AJ33" s="42">
        <v>1.04</v>
      </c>
      <c r="AK33" s="42">
        <v>0.28999999999999998</v>
      </c>
      <c r="AL33" s="40" t="s">
        <v>265</v>
      </c>
    </row>
    <row r="34" spans="1:38" x14ac:dyDescent="0.35">
      <c r="A34" s="43">
        <v>45861</v>
      </c>
      <c r="B34" s="42">
        <v>299.25</v>
      </c>
      <c r="C34" s="42">
        <v>296.20999999999998</v>
      </c>
      <c r="D34" s="42">
        <v>297.14999999999998</v>
      </c>
      <c r="E34" s="42">
        <v>0.94</v>
      </c>
      <c r="F34" s="42">
        <v>0.25</v>
      </c>
      <c r="G34" s="40" t="s">
        <v>265</v>
      </c>
      <c r="P34" s="43">
        <v>45861</v>
      </c>
      <c r="Q34" s="42">
        <v>299.25</v>
      </c>
      <c r="R34" s="42">
        <v>296.20999999999998</v>
      </c>
      <c r="S34" s="42">
        <v>297.14999999999998</v>
      </c>
      <c r="T34" s="42">
        <v>0.94</v>
      </c>
      <c r="U34" s="42">
        <v>0.25</v>
      </c>
      <c r="V34" s="40" t="s">
        <v>265</v>
      </c>
      <c r="AF34" s="43">
        <v>45861</v>
      </c>
      <c r="AG34" s="42">
        <v>299.25</v>
      </c>
      <c r="AH34" s="42">
        <v>296.20999999999998</v>
      </c>
      <c r="AI34" s="42">
        <v>297.14999999999998</v>
      </c>
      <c r="AJ34" s="42">
        <v>0.94</v>
      </c>
      <c r="AK34" s="42">
        <v>0.25</v>
      </c>
      <c r="AL34" s="40" t="s">
        <v>265</v>
      </c>
    </row>
    <row r="35" spans="1:38" x14ac:dyDescent="0.35">
      <c r="A35" s="43">
        <v>45860</v>
      </c>
      <c r="B35" s="42">
        <v>297.85000000000002</v>
      </c>
      <c r="C35" s="42">
        <v>295.97000000000003</v>
      </c>
      <c r="D35" s="42">
        <v>296.77</v>
      </c>
      <c r="E35" s="42">
        <v>0.8</v>
      </c>
      <c r="F35" s="42">
        <v>0.22</v>
      </c>
      <c r="G35" s="40" t="s">
        <v>265</v>
      </c>
      <c r="P35" s="43">
        <v>45860</v>
      </c>
      <c r="Q35" s="42">
        <v>297.85000000000002</v>
      </c>
      <c r="R35" s="42">
        <v>295.97000000000003</v>
      </c>
      <c r="S35" s="42">
        <v>296.77</v>
      </c>
      <c r="T35" s="42">
        <v>0.8</v>
      </c>
      <c r="U35" s="42">
        <v>0.22</v>
      </c>
      <c r="V35" s="40" t="s">
        <v>265</v>
      </c>
      <c r="AF35" s="43">
        <v>45860</v>
      </c>
      <c r="AG35" s="42">
        <v>297.85000000000002</v>
      </c>
      <c r="AH35" s="42">
        <v>295.97000000000003</v>
      </c>
      <c r="AI35" s="42">
        <v>296.77</v>
      </c>
      <c r="AJ35" s="42">
        <v>0.8</v>
      </c>
      <c r="AK35" s="42">
        <v>0.22</v>
      </c>
      <c r="AL35" s="40" t="s">
        <v>265</v>
      </c>
    </row>
    <row r="36" spans="1:38" x14ac:dyDescent="0.35">
      <c r="A36" s="43">
        <v>45859</v>
      </c>
      <c r="B36" s="42">
        <v>296.95</v>
      </c>
      <c r="C36" s="42">
        <v>295.82</v>
      </c>
      <c r="D36" s="42">
        <v>296.57</v>
      </c>
      <c r="E36" s="42">
        <v>0.75</v>
      </c>
      <c r="F36" s="42">
        <v>0.18</v>
      </c>
      <c r="G36" s="40" t="s">
        <v>265</v>
      </c>
      <c r="P36" s="43">
        <v>45859</v>
      </c>
      <c r="Q36" s="42">
        <v>296.95</v>
      </c>
      <c r="R36" s="42">
        <v>295.82</v>
      </c>
      <c r="S36" s="42">
        <v>296.57</v>
      </c>
      <c r="T36" s="42">
        <v>0.75</v>
      </c>
      <c r="U36" s="42">
        <v>0.18</v>
      </c>
      <c r="V36" s="40" t="s">
        <v>265</v>
      </c>
      <c r="AF36" s="43">
        <v>45859</v>
      </c>
      <c r="AG36" s="42">
        <v>296.95</v>
      </c>
      <c r="AH36" s="42">
        <v>295.82</v>
      </c>
      <c r="AI36" s="42">
        <v>296.57</v>
      </c>
      <c r="AJ36" s="42">
        <v>0.75</v>
      </c>
      <c r="AK36" s="42">
        <v>0.18</v>
      </c>
      <c r="AL36" s="40" t="s">
        <v>265</v>
      </c>
    </row>
    <row r="37" spans="1:38" x14ac:dyDescent="0.35">
      <c r="A37" s="43">
        <v>45856</v>
      </c>
      <c r="B37" s="42">
        <v>294.05</v>
      </c>
      <c r="C37" s="42">
        <v>295.73</v>
      </c>
      <c r="D37" s="42">
        <v>296.5</v>
      </c>
      <c r="E37" s="42">
        <v>0.78</v>
      </c>
      <c r="F37" s="42">
        <v>0.15</v>
      </c>
      <c r="G37" s="40" t="s">
        <v>265</v>
      </c>
      <c r="P37" s="43">
        <v>45856</v>
      </c>
      <c r="Q37" s="42">
        <v>294.05</v>
      </c>
      <c r="R37" s="42">
        <v>295.73</v>
      </c>
      <c r="S37" s="42">
        <v>296.5</v>
      </c>
      <c r="T37" s="42">
        <v>0.78</v>
      </c>
      <c r="U37" s="42">
        <v>0.15</v>
      </c>
      <c r="V37" s="40" t="s">
        <v>265</v>
      </c>
      <c r="AF37" s="43">
        <v>45856</v>
      </c>
      <c r="AG37" s="42">
        <v>294.05</v>
      </c>
      <c r="AH37" s="42">
        <v>295.73</v>
      </c>
      <c r="AI37" s="42">
        <v>296.5</v>
      </c>
      <c r="AJ37" s="42">
        <v>0.78</v>
      </c>
      <c r="AK37" s="42">
        <v>0.15</v>
      </c>
      <c r="AL37" s="40" t="s">
        <v>265</v>
      </c>
    </row>
    <row r="38" spans="1:38" x14ac:dyDescent="0.35">
      <c r="A38" s="43">
        <v>45855</v>
      </c>
      <c r="B38" s="42">
        <v>296.64999999999998</v>
      </c>
      <c r="C38" s="42">
        <v>295.86</v>
      </c>
      <c r="D38" s="42">
        <v>296.95</v>
      </c>
      <c r="E38" s="42">
        <v>1.0900000000000001</v>
      </c>
      <c r="F38" s="42">
        <v>0.12</v>
      </c>
      <c r="G38" s="40" t="s">
        <v>265</v>
      </c>
      <c r="P38" s="43">
        <v>45855</v>
      </c>
      <c r="Q38" s="42">
        <v>296.64999999999998</v>
      </c>
      <c r="R38" s="42">
        <v>295.86</v>
      </c>
      <c r="S38" s="42">
        <v>296.95</v>
      </c>
      <c r="T38" s="42">
        <v>1.0900000000000001</v>
      </c>
      <c r="U38" s="42">
        <v>0.12</v>
      </c>
      <c r="V38" s="40" t="s">
        <v>265</v>
      </c>
      <c r="AF38" s="43">
        <v>45855</v>
      </c>
      <c r="AG38" s="42">
        <v>296.64999999999998</v>
      </c>
      <c r="AH38" s="42">
        <v>295.86</v>
      </c>
      <c r="AI38" s="42">
        <v>296.95</v>
      </c>
      <c r="AJ38" s="42">
        <v>1.0900000000000001</v>
      </c>
      <c r="AK38" s="42">
        <v>0.12</v>
      </c>
      <c r="AL38" s="40" t="s">
        <v>265</v>
      </c>
    </row>
    <row r="39" spans="1:38" x14ac:dyDescent="0.35">
      <c r="A39" s="43">
        <v>45854</v>
      </c>
      <c r="B39" s="42">
        <v>296.89999999999998</v>
      </c>
      <c r="C39" s="42">
        <v>295.8</v>
      </c>
      <c r="D39" s="42">
        <v>297</v>
      </c>
      <c r="E39" s="42">
        <v>1.2</v>
      </c>
      <c r="F39" s="42">
        <v>7.0000000000000007E-2</v>
      </c>
      <c r="G39" s="40" t="s">
        <v>265</v>
      </c>
      <c r="P39" s="43">
        <v>45854</v>
      </c>
      <c r="Q39" s="42">
        <v>296.89999999999998</v>
      </c>
      <c r="R39" s="42">
        <v>295.8</v>
      </c>
      <c r="S39" s="42">
        <v>297</v>
      </c>
      <c r="T39" s="42">
        <v>1.2</v>
      </c>
      <c r="U39" s="42">
        <v>7.0000000000000007E-2</v>
      </c>
      <c r="V39" s="40" t="s">
        <v>265</v>
      </c>
      <c r="AF39" s="43">
        <v>45854</v>
      </c>
      <c r="AG39" s="42">
        <v>296.89999999999998</v>
      </c>
      <c r="AH39" s="42">
        <v>295.8</v>
      </c>
      <c r="AI39" s="42">
        <v>297</v>
      </c>
      <c r="AJ39" s="42">
        <v>1.2</v>
      </c>
      <c r="AK39" s="42">
        <v>7.0000000000000007E-2</v>
      </c>
      <c r="AL39" s="40" t="s">
        <v>265</v>
      </c>
    </row>
    <row r="40" spans="1:38" x14ac:dyDescent="0.35">
      <c r="A40" s="43">
        <v>45853</v>
      </c>
      <c r="B40" s="42">
        <v>298.39999999999998</v>
      </c>
      <c r="C40" s="42">
        <v>295.70999999999998</v>
      </c>
      <c r="D40" s="42">
        <v>297.02</v>
      </c>
      <c r="E40" s="42">
        <v>1.31</v>
      </c>
      <c r="F40" s="42">
        <v>0.01</v>
      </c>
      <c r="G40" s="40" t="s">
        <v>265</v>
      </c>
      <c r="P40" s="43">
        <v>45853</v>
      </c>
      <c r="Q40" s="42">
        <v>298.39999999999998</v>
      </c>
      <c r="R40" s="42">
        <v>295.70999999999998</v>
      </c>
      <c r="S40" s="42">
        <v>297.02</v>
      </c>
      <c r="T40" s="42">
        <v>1.31</v>
      </c>
      <c r="U40" s="42">
        <v>0.01</v>
      </c>
      <c r="V40" s="40" t="s">
        <v>265</v>
      </c>
      <c r="AF40" s="43">
        <v>45853</v>
      </c>
      <c r="AG40" s="42">
        <v>298.39999999999998</v>
      </c>
      <c r="AH40" s="42">
        <v>295.70999999999998</v>
      </c>
      <c r="AI40" s="42">
        <v>297.02</v>
      </c>
      <c r="AJ40" s="42">
        <v>1.31</v>
      </c>
      <c r="AK40" s="42">
        <v>0.01</v>
      </c>
      <c r="AL40" s="40" t="s">
        <v>265</v>
      </c>
    </row>
    <row r="41" spans="1:38" x14ac:dyDescent="0.35">
      <c r="A41" s="43">
        <v>45852</v>
      </c>
      <c r="B41" s="42">
        <v>298.2</v>
      </c>
      <c r="C41" s="42">
        <v>295.5</v>
      </c>
      <c r="D41" s="42">
        <v>296.77</v>
      </c>
      <c r="E41" s="42">
        <v>1.28</v>
      </c>
      <c r="F41" s="42">
        <v>-7.0000000000000007E-2</v>
      </c>
      <c r="G41" s="40" t="s">
        <v>265</v>
      </c>
      <c r="P41" s="43">
        <v>45852</v>
      </c>
      <c r="Q41" s="42">
        <v>298.2</v>
      </c>
      <c r="R41" s="42">
        <v>295.5</v>
      </c>
      <c r="S41" s="42">
        <v>296.77</v>
      </c>
      <c r="T41" s="42">
        <v>1.28</v>
      </c>
      <c r="U41" s="42">
        <v>-7.0000000000000007E-2</v>
      </c>
      <c r="V41" s="40" t="s">
        <v>265</v>
      </c>
      <c r="AF41" s="43">
        <v>45852</v>
      </c>
      <c r="AG41" s="42">
        <v>298.2</v>
      </c>
      <c r="AH41" s="42">
        <v>295.5</v>
      </c>
      <c r="AI41" s="42">
        <v>296.77</v>
      </c>
      <c r="AJ41" s="42">
        <v>1.28</v>
      </c>
      <c r="AK41" s="42">
        <v>-7.0000000000000007E-2</v>
      </c>
      <c r="AL41" s="40" t="s">
        <v>265</v>
      </c>
    </row>
    <row r="42" spans="1:38" x14ac:dyDescent="0.35">
      <c r="A42" s="43">
        <v>45849</v>
      </c>
      <c r="B42" s="42">
        <v>298.60000000000002</v>
      </c>
      <c r="C42" s="42">
        <v>295.27999999999997</v>
      </c>
      <c r="D42" s="42">
        <v>296.51</v>
      </c>
      <c r="E42" s="42">
        <v>1.23</v>
      </c>
      <c r="F42" s="42">
        <v>-0.14000000000000001</v>
      </c>
      <c r="G42" s="40" t="s">
        <v>265</v>
      </c>
      <c r="P42" s="43">
        <v>45849</v>
      </c>
      <c r="Q42" s="42">
        <v>298.60000000000002</v>
      </c>
      <c r="R42" s="42">
        <v>295.27999999999997</v>
      </c>
      <c r="S42" s="42">
        <v>296.51</v>
      </c>
      <c r="T42" s="42">
        <v>1.23</v>
      </c>
      <c r="U42" s="42">
        <v>-0.14000000000000001</v>
      </c>
      <c r="V42" s="40" t="s">
        <v>265</v>
      </c>
      <c r="AF42" s="43">
        <v>45849</v>
      </c>
      <c r="AG42" s="42">
        <v>298.60000000000002</v>
      </c>
      <c r="AH42" s="42">
        <v>295.27999999999997</v>
      </c>
      <c r="AI42" s="42">
        <v>296.51</v>
      </c>
      <c r="AJ42" s="42">
        <v>1.23</v>
      </c>
      <c r="AK42" s="42">
        <v>-0.14000000000000001</v>
      </c>
      <c r="AL42" s="40" t="s">
        <v>265</v>
      </c>
    </row>
    <row r="43" spans="1:38" x14ac:dyDescent="0.35">
      <c r="A43" s="43">
        <v>45848</v>
      </c>
      <c r="B43" s="42">
        <v>299.14999999999998</v>
      </c>
      <c r="C43" s="42">
        <v>295.01</v>
      </c>
      <c r="D43" s="42">
        <v>296.13</v>
      </c>
      <c r="E43" s="42">
        <v>1.1200000000000001</v>
      </c>
      <c r="F43" s="42">
        <v>-0.21</v>
      </c>
      <c r="G43" s="40" t="s">
        <v>265</v>
      </c>
      <c r="P43" s="43">
        <v>45848</v>
      </c>
      <c r="Q43" s="42">
        <v>299.14999999999998</v>
      </c>
      <c r="R43" s="42">
        <v>295.01</v>
      </c>
      <c r="S43" s="42">
        <v>296.13</v>
      </c>
      <c r="T43" s="42">
        <v>1.1200000000000001</v>
      </c>
      <c r="U43" s="42">
        <v>-0.21</v>
      </c>
      <c r="V43" s="40" t="s">
        <v>265</v>
      </c>
      <c r="AF43" s="43">
        <v>45848</v>
      </c>
      <c r="AG43" s="42">
        <v>299.14999999999998</v>
      </c>
      <c r="AH43" s="42">
        <v>295.01</v>
      </c>
      <c r="AI43" s="42">
        <v>296.13</v>
      </c>
      <c r="AJ43" s="42">
        <v>1.1200000000000001</v>
      </c>
      <c r="AK43" s="42">
        <v>-0.21</v>
      </c>
      <c r="AL43" s="40" t="s">
        <v>265</v>
      </c>
    </row>
    <row r="44" spans="1:38" x14ac:dyDescent="0.35">
      <c r="A44" s="43">
        <v>45847</v>
      </c>
      <c r="B44" s="42">
        <v>299.60000000000002</v>
      </c>
      <c r="C44" s="42">
        <v>294.68</v>
      </c>
      <c r="D44" s="42">
        <v>295.58</v>
      </c>
      <c r="E44" s="42">
        <v>0.9</v>
      </c>
      <c r="F44" s="42">
        <v>-0.28000000000000003</v>
      </c>
      <c r="G44" s="40" t="s">
        <v>265</v>
      </c>
      <c r="P44" s="43">
        <v>45847</v>
      </c>
      <c r="Q44" s="42">
        <v>299.60000000000002</v>
      </c>
      <c r="R44" s="42">
        <v>294.68</v>
      </c>
      <c r="S44" s="42">
        <v>295.58</v>
      </c>
      <c r="T44" s="42">
        <v>0.9</v>
      </c>
      <c r="U44" s="42">
        <v>-0.28000000000000003</v>
      </c>
      <c r="V44" s="40" t="s">
        <v>265</v>
      </c>
      <c r="AF44" s="43">
        <v>45847</v>
      </c>
      <c r="AG44" s="42">
        <v>299.60000000000002</v>
      </c>
      <c r="AH44" s="42">
        <v>294.68</v>
      </c>
      <c r="AI44" s="42">
        <v>295.58</v>
      </c>
      <c r="AJ44" s="42">
        <v>0.9</v>
      </c>
      <c r="AK44" s="42">
        <v>-0.28000000000000003</v>
      </c>
      <c r="AL44" s="40" t="s">
        <v>265</v>
      </c>
    </row>
    <row r="45" spans="1:38" x14ac:dyDescent="0.35">
      <c r="A45" s="43">
        <v>45846</v>
      </c>
      <c r="B45" s="42">
        <v>297.85000000000002</v>
      </c>
      <c r="C45" s="42">
        <v>294.29000000000002</v>
      </c>
      <c r="D45" s="42">
        <v>294.85000000000002</v>
      </c>
      <c r="E45" s="42">
        <v>0.56000000000000005</v>
      </c>
      <c r="F45" s="42">
        <v>-0.35</v>
      </c>
      <c r="G45" s="40" t="s">
        <v>265</v>
      </c>
      <c r="P45" s="43">
        <v>45846</v>
      </c>
      <c r="Q45" s="42">
        <v>297.85000000000002</v>
      </c>
      <c r="R45" s="42">
        <v>294.29000000000002</v>
      </c>
      <c r="S45" s="42">
        <v>294.85000000000002</v>
      </c>
      <c r="T45" s="42">
        <v>0.56000000000000005</v>
      </c>
      <c r="U45" s="42">
        <v>-0.35</v>
      </c>
      <c r="V45" s="40" t="s">
        <v>265</v>
      </c>
      <c r="AF45" s="43">
        <v>45846</v>
      </c>
      <c r="AG45" s="42">
        <v>297.85000000000002</v>
      </c>
      <c r="AH45" s="42">
        <v>294.29000000000002</v>
      </c>
      <c r="AI45" s="42">
        <v>294.85000000000002</v>
      </c>
      <c r="AJ45" s="42">
        <v>0.56000000000000005</v>
      </c>
      <c r="AK45" s="42">
        <v>-0.35</v>
      </c>
      <c r="AL45" s="40" t="s">
        <v>265</v>
      </c>
    </row>
    <row r="46" spans="1:38" x14ac:dyDescent="0.35">
      <c r="A46" s="43">
        <v>45845</v>
      </c>
      <c r="B46" s="42">
        <v>296</v>
      </c>
      <c r="C46" s="42">
        <v>294.01</v>
      </c>
      <c r="D46" s="42">
        <v>294.31</v>
      </c>
      <c r="E46" s="42">
        <v>0.3</v>
      </c>
      <c r="F46" s="42">
        <v>-0.4</v>
      </c>
      <c r="G46" s="40" t="s">
        <v>265</v>
      </c>
      <c r="P46" s="43">
        <v>45845</v>
      </c>
      <c r="Q46" s="42">
        <v>296</v>
      </c>
      <c r="R46" s="42">
        <v>294.01</v>
      </c>
      <c r="S46" s="42">
        <v>294.31</v>
      </c>
      <c r="T46" s="42">
        <v>0.3</v>
      </c>
      <c r="U46" s="42">
        <v>-0.4</v>
      </c>
      <c r="V46" s="40" t="s">
        <v>265</v>
      </c>
      <c r="AF46" s="43">
        <v>45845</v>
      </c>
      <c r="AG46" s="42">
        <v>296</v>
      </c>
      <c r="AH46" s="42">
        <v>294.01</v>
      </c>
      <c r="AI46" s="42">
        <v>294.31</v>
      </c>
      <c r="AJ46" s="42">
        <v>0.3</v>
      </c>
      <c r="AK46" s="42">
        <v>-0.4</v>
      </c>
      <c r="AL46" s="40" t="s">
        <v>265</v>
      </c>
    </row>
    <row r="47" spans="1:38" x14ac:dyDescent="0.35">
      <c r="A47" s="43">
        <v>45842</v>
      </c>
      <c r="B47" s="42">
        <v>294.10000000000002</v>
      </c>
      <c r="C47" s="42">
        <v>293.85000000000002</v>
      </c>
      <c r="D47" s="42">
        <v>294</v>
      </c>
      <c r="E47" s="42">
        <v>0.16</v>
      </c>
      <c r="F47" s="42">
        <v>-0.44</v>
      </c>
      <c r="G47" s="40" t="s">
        <v>265</v>
      </c>
      <c r="P47" s="43">
        <v>45842</v>
      </c>
      <c r="Q47" s="42">
        <v>294.10000000000002</v>
      </c>
      <c r="R47" s="42">
        <v>293.85000000000002</v>
      </c>
      <c r="S47" s="42">
        <v>294</v>
      </c>
      <c r="T47" s="42">
        <v>0.16</v>
      </c>
      <c r="U47" s="42">
        <v>-0.44</v>
      </c>
      <c r="V47" s="40" t="s">
        <v>265</v>
      </c>
      <c r="AF47" s="43">
        <v>45842</v>
      </c>
      <c r="AG47" s="42">
        <v>294.10000000000002</v>
      </c>
      <c r="AH47" s="42">
        <v>293.85000000000002</v>
      </c>
      <c r="AI47" s="42">
        <v>294</v>
      </c>
      <c r="AJ47" s="42">
        <v>0.16</v>
      </c>
      <c r="AK47" s="42">
        <v>-0.44</v>
      </c>
      <c r="AL47" s="40" t="s">
        <v>265</v>
      </c>
    </row>
    <row r="48" spans="1:38" x14ac:dyDescent="0.35">
      <c r="A48" s="43">
        <v>45841</v>
      </c>
      <c r="B48" s="42">
        <v>293.7</v>
      </c>
      <c r="C48" s="42">
        <v>293.83</v>
      </c>
      <c r="D48" s="42">
        <v>293.99</v>
      </c>
      <c r="E48" s="42">
        <v>0.16</v>
      </c>
      <c r="F48" s="42">
        <v>-0.47</v>
      </c>
      <c r="G48" s="40" t="s">
        <v>265</v>
      </c>
      <c r="P48" s="43">
        <v>45841</v>
      </c>
      <c r="Q48" s="42">
        <v>293.7</v>
      </c>
      <c r="R48" s="42">
        <v>293.83</v>
      </c>
      <c r="S48" s="42">
        <v>293.99</v>
      </c>
      <c r="T48" s="42">
        <v>0.16</v>
      </c>
      <c r="U48" s="42">
        <v>-0.47</v>
      </c>
      <c r="V48" s="40" t="s">
        <v>265</v>
      </c>
      <c r="AF48" s="43">
        <v>45841</v>
      </c>
      <c r="AG48" s="42">
        <v>293.7</v>
      </c>
      <c r="AH48" s="42">
        <v>293.83</v>
      </c>
      <c r="AI48" s="42">
        <v>293.99</v>
      </c>
      <c r="AJ48" s="42">
        <v>0.16</v>
      </c>
      <c r="AK48" s="42">
        <v>-0.47</v>
      </c>
      <c r="AL48" s="40" t="s">
        <v>265</v>
      </c>
    </row>
    <row r="49" spans="1:38" x14ac:dyDescent="0.35">
      <c r="A49" s="43">
        <v>45840</v>
      </c>
      <c r="B49" s="42">
        <v>294.85000000000002</v>
      </c>
      <c r="C49" s="42">
        <v>293.83999999999997</v>
      </c>
      <c r="D49" s="42">
        <v>294.04000000000002</v>
      </c>
      <c r="E49" s="42">
        <v>0.2</v>
      </c>
      <c r="F49" s="42">
        <v>-0.5</v>
      </c>
      <c r="G49" s="40" t="s">
        <v>265</v>
      </c>
      <c r="P49" s="43">
        <v>45840</v>
      </c>
      <c r="Q49" s="42">
        <v>294.85000000000002</v>
      </c>
      <c r="R49" s="42">
        <v>293.83999999999997</v>
      </c>
      <c r="S49" s="42">
        <v>294.04000000000002</v>
      </c>
      <c r="T49" s="42">
        <v>0.2</v>
      </c>
      <c r="U49" s="42">
        <v>-0.5</v>
      </c>
      <c r="V49" s="40" t="s">
        <v>265</v>
      </c>
      <c r="AF49" s="43">
        <v>45840</v>
      </c>
      <c r="AG49" s="42">
        <v>294.85000000000002</v>
      </c>
      <c r="AH49" s="42">
        <v>293.83999999999997</v>
      </c>
      <c r="AI49" s="42">
        <v>294.04000000000002</v>
      </c>
      <c r="AJ49" s="42">
        <v>0.2</v>
      </c>
      <c r="AK49" s="42">
        <v>-0.5</v>
      </c>
      <c r="AL49" s="40" t="s">
        <v>265</v>
      </c>
    </row>
    <row r="50" spans="1:38" x14ac:dyDescent="0.35">
      <c r="A50" s="43">
        <v>45839</v>
      </c>
      <c r="B50" s="42">
        <v>297.64999999999998</v>
      </c>
      <c r="C50" s="42">
        <v>293.75</v>
      </c>
      <c r="D50" s="42">
        <v>293.89</v>
      </c>
      <c r="E50" s="42">
        <v>0.13</v>
      </c>
      <c r="F50" s="42">
        <v>-0.54</v>
      </c>
      <c r="G50" s="40" t="s">
        <v>265</v>
      </c>
      <c r="P50" s="43">
        <v>45839</v>
      </c>
      <c r="Q50" s="42">
        <v>297.64999999999998</v>
      </c>
      <c r="R50" s="42">
        <v>293.75</v>
      </c>
      <c r="S50" s="42">
        <v>293.89</v>
      </c>
      <c r="T50" s="42">
        <v>0.13</v>
      </c>
      <c r="U50" s="42">
        <v>-0.54</v>
      </c>
      <c r="V50" s="40" t="s">
        <v>265</v>
      </c>
      <c r="AF50" s="43">
        <v>45839</v>
      </c>
      <c r="AG50" s="42">
        <v>297.64999999999998</v>
      </c>
      <c r="AH50" s="42">
        <v>293.75</v>
      </c>
      <c r="AI50" s="42">
        <v>293.89</v>
      </c>
      <c r="AJ50" s="42">
        <v>0.13</v>
      </c>
      <c r="AK50" s="42">
        <v>-0.54</v>
      </c>
      <c r="AL50" s="40" t="s">
        <v>265</v>
      </c>
    </row>
    <row r="51" spans="1:38" x14ac:dyDescent="0.35">
      <c r="A51" s="43">
        <v>45838</v>
      </c>
      <c r="B51" s="42">
        <v>299.8</v>
      </c>
      <c r="C51" s="42">
        <v>293.44</v>
      </c>
      <c r="D51" s="42">
        <v>293.20999999999998</v>
      </c>
      <c r="E51" s="42">
        <v>-0.24</v>
      </c>
      <c r="F51" s="42">
        <v>-0.57999999999999996</v>
      </c>
      <c r="G51" s="40" t="s">
        <v>265</v>
      </c>
      <c r="P51" s="43">
        <v>45838</v>
      </c>
      <c r="Q51" s="42">
        <v>299.8</v>
      </c>
      <c r="R51" s="42">
        <v>293.44</v>
      </c>
      <c r="S51" s="42">
        <v>293.20999999999998</v>
      </c>
      <c r="T51" s="42">
        <v>-0.24</v>
      </c>
      <c r="U51" s="42">
        <v>-0.57999999999999996</v>
      </c>
      <c r="V51" s="40" t="s">
        <v>265</v>
      </c>
      <c r="AF51" s="43">
        <v>45838</v>
      </c>
      <c r="AG51" s="42">
        <v>299.8</v>
      </c>
      <c r="AH51" s="42">
        <v>293.44</v>
      </c>
      <c r="AI51" s="42">
        <v>293.20999999999998</v>
      </c>
      <c r="AJ51" s="42">
        <v>-0.24</v>
      </c>
      <c r="AK51" s="42">
        <v>-0.57999999999999996</v>
      </c>
      <c r="AL51" s="40" t="s">
        <v>265</v>
      </c>
    </row>
    <row r="52" spans="1:38" x14ac:dyDescent="0.35">
      <c r="A52" s="43">
        <v>45835</v>
      </c>
      <c r="B52" s="42">
        <v>299.60000000000002</v>
      </c>
      <c r="C52" s="42">
        <v>292.93</v>
      </c>
      <c r="D52" s="42">
        <v>292.01</v>
      </c>
      <c r="E52" s="42">
        <v>-0.93</v>
      </c>
      <c r="F52" s="42">
        <v>-0.59</v>
      </c>
      <c r="G52" s="40" t="s">
        <v>267</v>
      </c>
      <c r="P52" s="43">
        <v>45835</v>
      </c>
      <c r="Q52" s="42">
        <v>299.60000000000002</v>
      </c>
      <c r="R52" s="42">
        <v>292.93</v>
      </c>
      <c r="S52" s="42">
        <v>292.01</v>
      </c>
      <c r="T52" s="42">
        <v>-0.93</v>
      </c>
      <c r="U52" s="42">
        <v>-0.59</v>
      </c>
      <c r="V52" s="40" t="s">
        <v>267</v>
      </c>
      <c r="AF52" s="43">
        <v>45835</v>
      </c>
      <c r="AG52" s="42">
        <v>299.60000000000002</v>
      </c>
      <c r="AH52" s="42">
        <v>292.93</v>
      </c>
      <c r="AI52" s="42">
        <v>292.01</v>
      </c>
      <c r="AJ52" s="42">
        <v>-0.93</v>
      </c>
      <c r="AK52" s="42">
        <v>-0.59</v>
      </c>
      <c r="AL52" s="40" t="s">
        <v>267</v>
      </c>
    </row>
    <row r="53" spans="1:38" x14ac:dyDescent="0.35">
      <c r="A53" s="43">
        <v>45834</v>
      </c>
      <c r="B53" s="42">
        <v>293.39999999999998</v>
      </c>
      <c r="C53" s="42">
        <v>292.39999999999998</v>
      </c>
      <c r="D53" s="42">
        <v>290.63</v>
      </c>
      <c r="E53" s="42">
        <v>-1.78</v>
      </c>
      <c r="F53" s="42">
        <v>-0.57999999999999996</v>
      </c>
      <c r="G53" s="40" t="s">
        <v>267</v>
      </c>
      <c r="P53" s="43">
        <v>45834</v>
      </c>
      <c r="Q53" s="42">
        <v>293.39999999999998</v>
      </c>
      <c r="R53" s="42">
        <v>292.39999999999998</v>
      </c>
      <c r="S53" s="42">
        <v>290.63</v>
      </c>
      <c r="T53" s="42">
        <v>-1.78</v>
      </c>
      <c r="U53" s="42">
        <v>-0.57999999999999996</v>
      </c>
      <c r="V53" s="40" t="s">
        <v>267</v>
      </c>
      <c r="AF53" s="43">
        <v>45834</v>
      </c>
      <c r="AG53" s="42">
        <v>293.39999999999998</v>
      </c>
      <c r="AH53" s="42">
        <v>292.39999999999998</v>
      </c>
      <c r="AI53" s="42">
        <v>290.63</v>
      </c>
      <c r="AJ53" s="42">
        <v>-1.78</v>
      </c>
      <c r="AK53" s="42">
        <v>-0.57999999999999996</v>
      </c>
      <c r="AL53" s="40" t="s">
        <v>267</v>
      </c>
    </row>
    <row r="54" spans="1:38" x14ac:dyDescent="0.35">
      <c r="A54" s="43">
        <v>45833</v>
      </c>
      <c r="B54" s="42">
        <v>290.45</v>
      </c>
      <c r="C54" s="42">
        <v>292.32</v>
      </c>
      <c r="D54" s="42">
        <v>290.12</v>
      </c>
      <c r="E54" s="42">
        <v>-2.2000000000000002</v>
      </c>
      <c r="F54" s="42">
        <v>-0.51</v>
      </c>
      <c r="G54" s="40" t="s">
        <v>267</v>
      </c>
      <c r="P54" s="43">
        <v>45833</v>
      </c>
      <c r="Q54" s="42">
        <v>290.45</v>
      </c>
      <c r="R54" s="42">
        <v>292.32</v>
      </c>
      <c r="S54" s="42">
        <v>290.12</v>
      </c>
      <c r="T54" s="42">
        <v>-2.2000000000000002</v>
      </c>
      <c r="U54" s="42">
        <v>-0.51</v>
      </c>
      <c r="V54" s="40" t="s">
        <v>267</v>
      </c>
      <c r="AF54" s="43">
        <v>45833</v>
      </c>
      <c r="AG54" s="42">
        <v>290.45</v>
      </c>
      <c r="AH54" s="42">
        <v>292.32</v>
      </c>
      <c r="AI54" s="42">
        <v>290.12</v>
      </c>
      <c r="AJ54" s="42">
        <v>-2.2000000000000002</v>
      </c>
      <c r="AK54" s="42">
        <v>-0.51</v>
      </c>
      <c r="AL54" s="40" t="s">
        <v>267</v>
      </c>
    </row>
    <row r="55" spans="1:38" x14ac:dyDescent="0.35">
      <c r="A55" s="43">
        <v>45832</v>
      </c>
      <c r="B55" s="42">
        <v>285.89999999999998</v>
      </c>
      <c r="C55" s="42">
        <v>292.47000000000003</v>
      </c>
      <c r="D55" s="42">
        <v>290.06</v>
      </c>
      <c r="E55" s="42">
        <v>-2.41</v>
      </c>
      <c r="F55" s="42">
        <v>-0.42</v>
      </c>
      <c r="G55" s="40" t="s">
        <v>267</v>
      </c>
      <c r="P55" s="43">
        <v>45832</v>
      </c>
      <c r="Q55" s="42">
        <v>285.89999999999998</v>
      </c>
      <c r="R55" s="42">
        <v>292.47000000000003</v>
      </c>
      <c r="S55" s="42">
        <v>290.06</v>
      </c>
      <c r="T55" s="42">
        <v>-2.41</v>
      </c>
      <c r="U55" s="42">
        <v>-0.42</v>
      </c>
      <c r="V55" s="40" t="s">
        <v>267</v>
      </c>
      <c r="AF55" s="43">
        <v>45832</v>
      </c>
      <c r="AG55" s="42">
        <v>285.89999999999998</v>
      </c>
      <c r="AH55" s="42">
        <v>292.47000000000003</v>
      </c>
      <c r="AI55" s="42">
        <v>290.06</v>
      </c>
      <c r="AJ55" s="42">
        <v>-2.41</v>
      </c>
      <c r="AK55" s="42">
        <v>-0.42</v>
      </c>
      <c r="AL55" s="40" t="s">
        <v>267</v>
      </c>
    </row>
    <row r="56" spans="1:38" x14ac:dyDescent="0.35">
      <c r="A56" s="43">
        <v>45831</v>
      </c>
      <c r="B56" s="42">
        <v>290.3</v>
      </c>
      <c r="C56" s="42">
        <v>293</v>
      </c>
      <c r="D56" s="42">
        <v>290.82</v>
      </c>
      <c r="E56" s="42">
        <v>-2.1800000000000002</v>
      </c>
      <c r="F56" s="42">
        <v>-0.31</v>
      </c>
      <c r="G56" s="40" t="s">
        <v>267</v>
      </c>
      <c r="P56" s="43">
        <v>45831</v>
      </c>
      <c r="Q56" s="42">
        <v>290.3</v>
      </c>
      <c r="R56" s="42">
        <v>293</v>
      </c>
      <c r="S56" s="42">
        <v>290.82</v>
      </c>
      <c r="T56" s="42">
        <v>-2.1800000000000002</v>
      </c>
      <c r="U56" s="42">
        <v>-0.31</v>
      </c>
      <c r="V56" s="40" t="s">
        <v>267</v>
      </c>
      <c r="AF56" s="43">
        <v>45831</v>
      </c>
      <c r="AG56" s="42">
        <v>290.3</v>
      </c>
      <c r="AH56" s="42">
        <v>293</v>
      </c>
      <c r="AI56" s="42">
        <v>290.82</v>
      </c>
      <c r="AJ56" s="42">
        <v>-2.1800000000000002</v>
      </c>
      <c r="AK56" s="42">
        <v>-0.31</v>
      </c>
      <c r="AL56" s="40" t="s">
        <v>267</v>
      </c>
    </row>
    <row r="57" spans="1:38" x14ac:dyDescent="0.35">
      <c r="A57" s="43">
        <v>45828</v>
      </c>
      <c r="B57" s="42">
        <v>293.10000000000002</v>
      </c>
      <c r="C57" s="42">
        <v>293.20999999999998</v>
      </c>
      <c r="D57" s="42">
        <v>290.91000000000003</v>
      </c>
      <c r="E57" s="42">
        <v>-2.2999999999999998</v>
      </c>
      <c r="F57" s="42">
        <v>-0.21</v>
      </c>
      <c r="G57" s="40" t="s">
        <v>267</v>
      </c>
      <c r="P57" s="43">
        <v>45828</v>
      </c>
      <c r="Q57" s="42">
        <v>293.10000000000002</v>
      </c>
      <c r="R57" s="42">
        <v>293.20999999999998</v>
      </c>
      <c r="S57" s="42">
        <v>290.91000000000003</v>
      </c>
      <c r="T57" s="42">
        <v>-2.2999999999999998</v>
      </c>
      <c r="U57" s="42">
        <v>-0.21</v>
      </c>
      <c r="V57" s="40" t="s">
        <v>267</v>
      </c>
      <c r="AF57" s="43">
        <v>45828</v>
      </c>
      <c r="AG57" s="42">
        <v>293.10000000000002</v>
      </c>
      <c r="AH57" s="42">
        <v>293.20999999999998</v>
      </c>
      <c r="AI57" s="42">
        <v>290.91000000000003</v>
      </c>
      <c r="AJ57" s="42">
        <v>-2.2999999999999998</v>
      </c>
      <c r="AK57" s="42">
        <v>-0.21</v>
      </c>
      <c r="AL57" s="40" t="s">
        <v>267</v>
      </c>
    </row>
    <row r="58" spans="1:38" x14ac:dyDescent="0.35">
      <c r="A58" s="43">
        <v>45827</v>
      </c>
      <c r="B58" s="42">
        <v>286.3</v>
      </c>
      <c r="C58" s="42">
        <v>293.22000000000003</v>
      </c>
      <c r="D58" s="42">
        <v>290.51</v>
      </c>
      <c r="E58" s="42">
        <v>-2.71</v>
      </c>
      <c r="F58" s="42">
        <v>-0.1</v>
      </c>
      <c r="G58" s="40" t="s">
        <v>267</v>
      </c>
      <c r="P58" s="43">
        <v>45827</v>
      </c>
      <c r="Q58" s="42">
        <v>286.3</v>
      </c>
      <c r="R58" s="42">
        <v>293.22000000000003</v>
      </c>
      <c r="S58" s="42">
        <v>290.51</v>
      </c>
      <c r="T58" s="42">
        <v>-2.71</v>
      </c>
      <c r="U58" s="42">
        <v>-0.1</v>
      </c>
      <c r="V58" s="40" t="s">
        <v>267</v>
      </c>
      <c r="AF58" s="43">
        <v>45827</v>
      </c>
      <c r="AG58" s="42">
        <v>286.3</v>
      </c>
      <c r="AH58" s="42">
        <v>293.22000000000003</v>
      </c>
      <c r="AI58" s="42">
        <v>290.51</v>
      </c>
      <c r="AJ58" s="42">
        <v>-2.71</v>
      </c>
      <c r="AK58" s="42">
        <v>-0.1</v>
      </c>
      <c r="AL58" s="40" t="s">
        <v>267</v>
      </c>
    </row>
    <row r="59" spans="1:38" x14ac:dyDescent="0.35">
      <c r="A59" s="43">
        <v>45826</v>
      </c>
      <c r="B59" s="42">
        <v>287.45</v>
      </c>
      <c r="C59" s="42">
        <v>293.77</v>
      </c>
      <c r="D59" s="42">
        <v>291.27999999999997</v>
      </c>
      <c r="E59" s="42">
        <v>-2.4900000000000002</v>
      </c>
      <c r="F59" s="42">
        <v>0.04</v>
      </c>
      <c r="G59" s="40" t="s">
        <v>267</v>
      </c>
      <c r="P59" s="43">
        <v>45826</v>
      </c>
      <c r="Q59" s="42">
        <v>287.45</v>
      </c>
      <c r="R59" s="42">
        <v>293.77</v>
      </c>
      <c r="S59" s="42">
        <v>291.27999999999997</v>
      </c>
      <c r="T59" s="42">
        <v>-2.4900000000000002</v>
      </c>
      <c r="U59" s="42">
        <v>0.04</v>
      </c>
      <c r="V59" s="40" t="s">
        <v>267</v>
      </c>
      <c r="AF59" s="43">
        <v>45826</v>
      </c>
      <c r="AG59" s="42">
        <v>287.45</v>
      </c>
      <c r="AH59" s="42">
        <v>293.77</v>
      </c>
      <c r="AI59" s="42">
        <v>291.27999999999997</v>
      </c>
      <c r="AJ59" s="42">
        <v>-2.4900000000000002</v>
      </c>
      <c r="AK59" s="42">
        <v>0.04</v>
      </c>
      <c r="AL59" s="40" t="s">
        <v>267</v>
      </c>
    </row>
    <row r="60" spans="1:38" x14ac:dyDescent="0.35">
      <c r="A60" s="43">
        <v>45825</v>
      </c>
      <c r="B60" s="42">
        <v>288.60000000000002</v>
      </c>
      <c r="C60" s="42">
        <v>294.27999999999997</v>
      </c>
      <c r="D60" s="42">
        <v>291.98</v>
      </c>
      <c r="E60" s="42">
        <v>-2.2999999999999998</v>
      </c>
      <c r="F60" s="42">
        <v>0.18</v>
      </c>
      <c r="G60" s="40" t="s">
        <v>267</v>
      </c>
      <c r="P60" s="43">
        <v>45825</v>
      </c>
      <c r="Q60" s="42">
        <v>288.60000000000002</v>
      </c>
      <c r="R60" s="42">
        <v>294.27999999999997</v>
      </c>
      <c r="S60" s="42">
        <v>291.98</v>
      </c>
      <c r="T60" s="42">
        <v>-2.2999999999999998</v>
      </c>
      <c r="U60" s="42">
        <v>0.18</v>
      </c>
      <c r="V60" s="40" t="s">
        <v>267</v>
      </c>
      <c r="AF60" s="43">
        <v>45825</v>
      </c>
      <c r="AG60" s="42">
        <v>288.60000000000002</v>
      </c>
      <c r="AH60" s="42">
        <v>294.27999999999997</v>
      </c>
      <c r="AI60" s="42">
        <v>291.98</v>
      </c>
      <c r="AJ60" s="42">
        <v>-2.2999999999999998</v>
      </c>
      <c r="AK60" s="42">
        <v>0.18</v>
      </c>
      <c r="AL60" s="40" t="s">
        <v>267</v>
      </c>
    </row>
    <row r="61" spans="1:38" x14ac:dyDescent="0.35">
      <c r="A61" s="43">
        <v>45824</v>
      </c>
      <c r="B61" s="42">
        <v>288.64999999999998</v>
      </c>
      <c r="C61" s="42">
        <v>294.73</v>
      </c>
      <c r="D61" s="42">
        <v>292.58999999999997</v>
      </c>
      <c r="E61" s="42">
        <v>-2.14</v>
      </c>
      <c r="F61" s="42">
        <v>0.31</v>
      </c>
      <c r="G61" s="40" t="s">
        <v>267</v>
      </c>
      <c r="P61" s="43">
        <v>45824</v>
      </c>
      <c r="Q61" s="42">
        <v>288.64999999999998</v>
      </c>
      <c r="R61" s="42">
        <v>294.73</v>
      </c>
      <c r="S61" s="42">
        <v>292.58999999999997</v>
      </c>
      <c r="T61" s="42">
        <v>-2.14</v>
      </c>
      <c r="U61" s="42">
        <v>0.31</v>
      </c>
      <c r="V61" s="40" t="s">
        <v>267</v>
      </c>
      <c r="AF61" s="43">
        <v>45824</v>
      </c>
      <c r="AG61" s="42">
        <v>288.64999999999998</v>
      </c>
      <c r="AH61" s="42">
        <v>294.73</v>
      </c>
      <c r="AI61" s="42">
        <v>292.58999999999997</v>
      </c>
      <c r="AJ61" s="42">
        <v>-2.14</v>
      </c>
      <c r="AK61" s="42">
        <v>0.31</v>
      </c>
      <c r="AL61" s="40" t="s">
        <v>267</v>
      </c>
    </row>
    <row r="62" spans="1:38" x14ac:dyDescent="0.35">
      <c r="A62" s="43">
        <v>45821</v>
      </c>
      <c r="B62" s="42">
        <v>285.7</v>
      </c>
      <c r="C62" s="42">
        <v>295.22000000000003</v>
      </c>
      <c r="D62" s="42">
        <v>293.31</v>
      </c>
      <c r="E62" s="42">
        <v>-1.91</v>
      </c>
      <c r="F62" s="42">
        <v>0.45</v>
      </c>
      <c r="G62" s="40" t="s">
        <v>267</v>
      </c>
      <c r="P62" s="43">
        <v>45821</v>
      </c>
      <c r="Q62" s="42">
        <v>285.7</v>
      </c>
      <c r="R62" s="42">
        <v>295.22000000000003</v>
      </c>
      <c r="S62" s="42">
        <v>293.31</v>
      </c>
      <c r="T62" s="42">
        <v>-1.91</v>
      </c>
      <c r="U62" s="42">
        <v>0.45</v>
      </c>
      <c r="V62" s="40" t="s">
        <v>267</v>
      </c>
      <c r="AF62" s="43">
        <v>45821</v>
      </c>
      <c r="AG62" s="42">
        <v>285.7</v>
      </c>
      <c r="AH62" s="42">
        <v>295.22000000000003</v>
      </c>
      <c r="AI62" s="42">
        <v>293.31</v>
      </c>
      <c r="AJ62" s="42">
        <v>-1.91</v>
      </c>
      <c r="AK62" s="42">
        <v>0.45</v>
      </c>
      <c r="AL62" s="40" t="s">
        <v>267</v>
      </c>
    </row>
    <row r="63" spans="1:38" x14ac:dyDescent="0.35">
      <c r="A63" s="43">
        <v>45820</v>
      </c>
      <c r="B63" s="42">
        <v>288.8</v>
      </c>
      <c r="C63" s="42">
        <v>295.98</v>
      </c>
      <c r="D63" s="42">
        <v>294.69</v>
      </c>
      <c r="E63" s="42">
        <v>-1.29</v>
      </c>
      <c r="F63" s="42">
        <v>0.56999999999999995</v>
      </c>
      <c r="G63" s="40" t="s">
        <v>267</v>
      </c>
      <c r="P63" s="43">
        <v>45820</v>
      </c>
      <c r="Q63" s="42">
        <v>288.8</v>
      </c>
      <c r="R63" s="42">
        <v>295.98</v>
      </c>
      <c r="S63" s="42">
        <v>294.69</v>
      </c>
      <c r="T63" s="42">
        <v>-1.29</v>
      </c>
      <c r="U63" s="42">
        <v>0.56999999999999995</v>
      </c>
      <c r="V63" s="40" t="s">
        <v>267</v>
      </c>
      <c r="AF63" s="43">
        <v>45820</v>
      </c>
      <c r="AG63" s="42">
        <v>288.8</v>
      </c>
      <c r="AH63" s="42">
        <v>295.98</v>
      </c>
      <c r="AI63" s="42">
        <v>294.69</v>
      </c>
      <c r="AJ63" s="42">
        <v>-1.29</v>
      </c>
      <c r="AK63" s="42">
        <v>0.56999999999999995</v>
      </c>
      <c r="AL63" s="40" t="s">
        <v>267</v>
      </c>
    </row>
    <row r="64" spans="1:38" x14ac:dyDescent="0.35">
      <c r="A64" s="43">
        <v>45819</v>
      </c>
      <c r="B64" s="42">
        <v>295.45</v>
      </c>
      <c r="C64" s="42">
        <v>296.56</v>
      </c>
      <c r="D64" s="42">
        <v>295.76</v>
      </c>
      <c r="E64" s="42">
        <v>-0.8</v>
      </c>
      <c r="F64" s="42">
        <v>0.68</v>
      </c>
      <c r="G64" s="40" t="s">
        <v>267</v>
      </c>
      <c r="P64" s="43">
        <v>45819</v>
      </c>
      <c r="Q64" s="42">
        <v>295.45</v>
      </c>
      <c r="R64" s="42">
        <v>296.56</v>
      </c>
      <c r="S64" s="42">
        <v>295.76</v>
      </c>
      <c r="T64" s="42">
        <v>-0.8</v>
      </c>
      <c r="U64" s="42">
        <v>0.68</v>
      </c>
      <c r="V64" s="40" t="s">
        <v>267</v>
      </c>
      <c r="AF64" s="43">
        <v>45819</v>
      </c>
      <c r="AG64" s="42">
        <v>295.45</v>
      </c>
      <c r="AH64" s="42">
        <v>296.56</v>
      </c>
      <c r="AI64" s="42">
        <v>295.76</v>
      </c>
      <c r="AJ64" s="42">
        <v>-0.8</v>
      </c>
      <c r="AK64" s="42">
        <v>0.68</v>
      </c>
      <c r="AL64" s="40" t="s">
        <v>267</v>
      </c>
    </row>
    <row r="65" spans="1:38" x14ac:dyDescent="0.35">
      <c r="A65" s="43">
        <v>45818</v>
      </c>
      <c r="B65" s="42">
        <v>301.14999999999998</v>
      </c>
      <c r="C65" s="42">
        <v>296.64999999999998</v>
      </c>
      <c r="D65" s="42">
        <v>295.82</v>
      </c>
      <c r="E65" s="42">
        <v>-0.83</v>
      </c>
      <c r="F65" s="42">
        <v>0.75</v>
      </c>
      <c r="G65" s="40" t="s">
        <v>267</v>
      </c>
      <c r="P65" s="43">
        <v>45818</v>
      </c>
      <c r="Q65" s="42">
        <v>301.14999999999998</v>
      </c>
      <c r="R65" s="42">
        <v>296.64999999999998</v>
      </c>
      <c r="S65" s="42">
        <v>295.82</v>
      </c>
      <c r="T65" s="42">
        <v>-0.83</v>
      </c>
      <c r="U65" s="42">
        <v>0.75</v>
      </c>
      <c r="V65" s="40" t="s">
        <v>267</v>
      </c>
      <c r="AF65" s="43">
        <v>45818</v>
      </c>
      <c r="AG65" s="42">
        <v>301.14999999999998</v>
      </c>
      <c r="AH65" s="42">
        <v>296.64999999999998</v>
      </c>
      <c r="AI65" s="42">
        <v>295.82</v>
      </c>
      <c r="AJ65" s="42">
        <v>-0.83</v>
      </c>
      <c r="AK65" s="42">
        <v>0.75</v>
      </c>
      <c r="AL65" s="40" t="s">
        <v>267</v>
      </c>
    </row>
    <row r="66" spans="1:38" x14ac:dyDescent="0.35">
      <c r="A66" s="43">
        <v>45817</v>
      </c>
      <c r="B66" s="42">
        <v>300.60000000000002</v>
      </c>
      <c r="C66" s="42">
        <v>296.29000000000002</v>
      </c>
      <c r="D66" s="42">
        <v>294.85000000000002</v>
      </c>
      <c r="E66" s="42">
        <v>-1.44</v>
      </c>
      <c r="F66" s="42">
        <v>0.84</v>
      </c>
      <c r="G66" s="40" t="s">
        <v>267</v>
      </c>
      <c r="P66" s="43">
        <v>45817</v>
      </c>
      <c r="Q66" s="42">
        <v>300.60000000000002</v>
      </c>
      <c r="R66" s="42">
        <v>296.29000000000002</v>
      </c>
      <c r="S66" s="42">
        <v>294.85000000000002</v>
      </c>
      <c r="T66" s="42">
        <v>-1.44</v>
      </c>
      <c r="U66" s="42">
        <v>0.84</v>
      </c>
      <c r="V66" s="40" t="s">
        <v>267</v>
      </c>
      <c r="AF66" s="43">
        <v>45817</v>
      </c>
      <c r="AG66" s="42">
        <v>300.60000000000002</v>
      </c>
      <c r="AH66" s="42">
        <v>296.29000000000002</v>
      </c>
      <c r="AI66" s="42">
        <v>294.85000000000002</v>
      </c>
      <c r="AJ66" s="42">
        <v>-1.44</v>
      </c>
      <c r="AK66" s="42">
        <v>0.84</v>
      </c>
      <c r="AL66" s="40" t="s">
        <v>267</v>
      </c>
    </row>
    <row r="67" spans="1:38" x14ac:dyDescent="0.35">
      <c r="A67" s="43">
        <v>45814</v>
      </c>
      <c r="B67" s="42">
        <v>295.85000000000002</v>
      </c>
      <c r="C67" s="42">
        <v>295.94</v>
      </c>
      <c r="D67" s="42">
        <v>293.8</v>
      </c>
      <c r="E67" s="42">
        <v>-2.14</v>
      </c>
      <c r="F67" s="42">
        <v>0.96</v>
      </c>
      <c r="G67" s="40" t="s">
        <v>267</v>
      </c>
      <c r="P67" s="43">
        <v>45814</v>
      </c>
      <c r="Q67" s="42">
        <v>295.85000000000002</v>
      </c>
      <c r="R67" s="42">
        <v>295.94</v>
      </c>
      <c r="S67" s="42">
        <v>293.8</v>
      </c>
      <c r="T67" s="42">
        <v>-2.14</v>
      </c>
      <c r="U67" s="42">
        <v>0.96</v>
      </c>
      <c r="V67" s="40" t="s">
        <v>267</v>
      </c>
      <c r="AF67" s="43">
        <v>45814</v>
      </c>
      <c r="AG67" s="42">
        <v>295.85000000000002</v>
      </c>
      <c r="AH67" s="42">
        <v>295.94</v>
      </c>
      <c r="AI67" s="42">
        <v>293.8</v>
      </c>
      <c r="AJ67" s="42">
        <v>-2.14</v>
      </c>
      <c r="AK67" s="42">
        <v>0.96</v>
      </c>
      <c r="AL67" s="40" t="s">
        <v>267</v>
      </c>
    </row>
    <row r="68" spans="1:38" x14ac:dyDescent="0.35">
      <c r="A68" s="43">
        <v>45813</v>
      </c>
      <c r="B68" s="42">
        <v>294.25</v>
      </c>
      <c r="C68" s="42">
        <v>295.95</v>
      </c>
      <c r="D68" s="42">
        <v>293.43</v>
      </c>
      <c r="E68" s="42">
        <v>-2.52</v>
      </c>
      <c r="F68" s="42">
        <v>1.1299999999999999</v>
      </c>
      <c r="G68" s="40" t="s">
        <v>267</v>
      </c>
      <c r="P68" s="43">
        <v>45813</v>
      </c>
      <c r="Q68" s="42">
        <v>294.25</v>
      </c>
      <c r="R68" s="42">
        <v>295.95</v>
      </c>
      <c r="S68" s="42">
        <v>293.43</v>
      </c>
      <c r="T68" s="42">
        <v>-2.52</v>
      </c>
      <c r="U68" s="42">
        <v>1.1299999999999999</v>
      </c>
      <c r="V68" s="40" t="s">
        <v>267</v>
      </c>
      <c r="AF68" s="43">
        <v>45813</v>
      </c>
      <c r="AG68" s="42">
        <v>294.25</v>
      </c>
      <c r="AH68" s="42">
        <v>295.95</v>
      </c>
      <c r="AI68" s="42">
        <v>293.43</v>
      </c>
      <c r="AJ68" s="42">
        <v>-2.52</v>
      </c>
      <c r="AK68" s="42">
        <v>1.1299999999999999</v>
      </c>
      <c r="AL68" s="40" t="s">
        <v>267</v>
      </c>
    </row>
    <row r="69" spans="1:38" x14ac:dyDescent="0.35">
      <c r="A69" s="43">
        <v>45812</v>
      </c>
      <c r="B69" s="42">
        <v>288.60000000000002</v>
      </c>
      <c r="C69" s="42">
        <v>296.08</v>
      </c>
      <c r="D69" s="42">
        <v>293.27999999999997</v>
      </c>
      <c r="E69" s="42">
        <v>-2.8</v>
      </c>
      <c r="F69" s="42">
        <v>1.33</v>
      </c>
      <c r="G69" s="40" t="s">
        <v>267</v>
      </c>
      <c r="P69" s="43">
        <v>45812</v>
      </c>
      <c r="Q69" s="42">
        <v>288.60000000000002</v>
      </c>
      <c r="R69" s="42">
        <v>296.08</v>
      </c>
      <c r="S69" s="42">
        <v>293.27999999999997</v>
      </c>
      <c r="T69" s="42">
        <v>-2.8</v>
      </c>
      <c r="U69" s="42">
        <v>1.33</v>
      </c>
      <c r="V69" s="40" t="s">
        <v>267</v>
      </c>
      <c r="AF69" s="43">
        <v>45812</v>
      </c>
      <c r="AG69" s="42">
        <v>288.60000000000002</v>
      </c>
      <c r="AH69" s="42">
        <v>296.08</v>
      </c>
      <c r="AI69" s="42">
        <v>293.27999999999997</v>
      </c>
      <c r="AJ69" s="42">
        <v>-2.8</v>
      </c>
      <c r="AK69" s="42">
        <v>1.33</v>
      </c>
      <c r="AL69" s="40" t="s">
        <v>267</v>
      </c>
    </row>
    <row r="70" spans="1:38" x14ac:dyDescent="0.35">
      <c r="A70" s="43">
        <v>45811</v>
      </c>
      <c r="B70" s="42">
        <v>288.25</v>
      </c>
      <c r="C70" s="42">
        <v>296.68</v>
      </c>
      <c r="D70" s="42">
        <v>294.13</v>
      </c>
      <c r="E70" s="42">
        <v>-2.5499999999999998</v>
      </c>
      <c r="F70" s="42">
        <v>1.55</v>
      </c>
      <c r="G70" s="40" t="s">
        <v>267</v>
      </c>
      <c r="P70" s="43">
        <v>45811</v>
      </c>
      <c r="Q70" s="42">
        <v>288.25</v>
      </c>
      <c r="R70" s="42">
        <v>296.68</v>
      </c>
      <c r="S70" s="42">
        <v>294.13</v>
      </c>
      <c r="T70" s="42">
        <v>-2.5499999999999998</v>
      </c>
      <c r="U70" s="42">
        <v>1.55</v>
      </c>
      <c r="V70" s="40" t="s">
        <v>267</v>
      </c>
      <c r="AF70" s="43">
        <v>45811</v>
      </c>
      <c r="AG70" s="42">
        <v>288.25</v>
      </c>
      <c r="AH70" s="42">
        <v>296.68</v>
      </c>
      <c r="AI70" s="42">
        <v>294.13</v>
      </c>
      <c r="AJ70" s="42">
        <v>-2.5499999999999998</v>
      </c>
      <c r="AK70" s="42">
        <v>1.55</v>
      </c>
      <c r="AL70" s="40" t="s">
        <v>267</v>
      </c>
    </row>
    <row r="71" spans="1:38" x14ac:dyDescent="0.35">
      <c r="A71" s="43">
        <v>45810</v>
      </c>
      <c r="B71" s="42">
        <v>293</v>
      </c>
      <c r="C71" s="42">
        <v>297.36</v>
      </c>
      <c r="D71" s="42">
        <v>295.2</v>
      </c>
      <c r="E71" s="42">
        <v>-2.16</v>
      </c>
      <c r="F71" s="42">
        <v>1.77</v>
      </c>
      <c r="G71" s="40" t="s">
        <v>267</v>
      </c>
      <c r="P71" s="43">
        <v>45810</v>
      </c>
      <c r="Q71" s="42">
        <v>293</v>
      </c>
      <c r="R71" s="42">
        <v>297.36</v>
      </c>
      <c r="S71" s="42">
        <v>295.2</v>
      </c>
      <c r="T71" s="42">
        <v>-2.16</v>
      </c>
      <c r="U71" s="42">
        <v>1.77</v>
      </c>
      <c r="V71" s="40" t="s">
        <v>267</v>
      </c>
      <c r="AF71" s="43">
        <v>45810</v>
      </c>
      <c r="AG71" s="42">
        <v>293</v>
      </c>
      <c r="AH71" s="42">
        <v>297.36</v>
      </c>
      <c r="AI71" s="42">
        <v>295.2</v>
      </c>
      <c r="AJ71" s="42">
        <v>-2.16</v>
      </c>
      <c r="AK71" s="42">
        <v>1.77</v>
      </c>
      <c r="AL71" s="40" t="s">
        <v>267</v>
      </c>
    </row>
    <row r="72" spans="1:38" x14ac:dyDescent="0.35">
      <c r="A72" s="43">
        <v>45807</v>
      </c>
      <c r="B72" s="42">
        <v>289.89999999999998</v>
      </c>
      <c r="C72" s="42">
        <v>297.70999999999998</v>
      </c>
      <c r="D72" s="42">
        <v>295.60000000000002</v>
      </c>
      <c r="E72" s="42">
        <v>-2.1</v>
      </c>
      <c r="F72" s="42">
        <v>1.99</v>
      </c>
      <c r="G72" s="40" t="s">
        <v>267</v>
      </c>
      <c r="P72" s="43">
        <v>45807</v>
      </c>
      <c r="Q72" s="42">
        <v>289.89999999999998</v>
      </c>
      <c r="R72" s="42">
        <v>297.70999999999998</v>
      </c>
      <c r="S72" s="42">
        <v>295.60000000000002</v>
      </c>
      <c r="T72" s="42">
        <v>-2.1</v>
      </c>
      <c r="U72" s="42">
        <v>1.99</v>
      </c>
      <c r="V72" s="40" t="s">
        <v>267</v>
      </c>
      <c r="AF72" s="43">
        <v>45807</v>
      </c>
      <c r="AG72" s="42">
        <v>289.89999999999998</v>
      </c>
      <c r="AH72" s="42">
        <v>297.70999999999998</v>
      </c>
      <c r="AI72" s="42">
        <v>295.60000000000002</v>
      </c>
      <c r="AJ72" s="42">
        <v>-2.1</v>
      </c>
      <c r="AK72" s="42">
        <v>1.99</v>
      </c>
      <c r="AL72" s="40" t="s">
        <v>267</v>
      </c>
    </row>
    <row r="73" spans="1:38" x14ac:dyDescent="0.35">
      <c r="A73" s="43">
        <v>45806</v>
      </c>
      <c r="B73" s="42">
        <v>293.2</v>
      </c>
      <c r="C73" s="42">
        <v>298.33</v>
      </c>
      <c r="D73" s="42">
        <v>296.64</v>
      </c>
      <c r="E73" s="42">
        <v>-1.69</v>
      </c>
      <c r="F73" s="42">
        <v>2.21</v>
      </c>
      <c r="G73" s="40" t="s">
        <v>267</v>
      </c>
      <c r="P73" s="43">
        <v>45806</v>
      </c>
      <c r="Q73" s="42">
        <v>293.2</v>
      </c>
      <c r="R73" s="42">
        <v>298.33</v>
      </c>
      <c r="S73" s="42">
        <v>296.64</v>
      </c>
      <c r="T73" s="42">
        <v>-1.69</v>
      </c>
      <c r="U73" s="42">
        <v>2.21</v>
      </c>
      <c r="V73" s="40" t="s">
        <v>267</v>
      </c>
      <c r="AF73" s="43">
        <v>45806</v>
      </c>
      <c r="AG73" s="42">
        <v>293.2</v>
      </c>
      <c r="AH73" s="42">
        <v>298.33</v>
      </c>
      <c r="AI73" s="42">
        <v>296.64</v>
      </c>
      <c r="AJ73" s="42">
        <v>-1.69</v>
      </c>
      <c r="AK73" s="42">
        <v>2.21</v>
      </c>
      <c r="AL73" s="40" t="s">
        <v>267</v>
      </c>
    </row>
    <row r="74" spans="1:38" x14ac:dyDescent="0.35">
      <c r="A74" s="43">
        <v>45805</v>
      </c>
      <c r="B74" s="42">
        <v>291.2</v>
      </c>
      <c r="C74" s="42">
        <v>298.74</v>
      </c>
      <c r="D74" s="42">
        <v>297.26</v>
      </c>
      <c r="E74" s="42">
        <v>-1.48</v>
      </c>
      <c r="F74" s="42">
        <v>2.42</v>
      </c>
      <c r="G74" s="40" t="s">
        <v>267</v>
      </c>
      <c r="P74" s="43">
        <v>45805</v>
      </c>
      <c r="Q74" s="42">
        <v>291.2</v>
      </c>
      <c r="R74" s="42">
        <v>298.74</v>
      </c>
      <c r="S74" s="42">
        <v>297.26</v>
      </c>
      <c r="T74" s="42">
        <v>-1.48</v>
      </c>
      <c r="U74" s="42">
        <v>2.42</v>
      </c>
      <c r="V74" s="40" t="s">
        <v>267</v>
      </c>
      <c r="AF74" s="43">
        <v>45805</v>
      </c>
      <c r="AG74" s="42">
        <v>291.2</v>
      </c>
      <c r="AH74" s="42">
        <v>298.74</v>
      </c>
      <c r="AI74" s="42">
        <v>297.26</v>
      </c>
      <c r="AJ74" s="42">
        <v>-1.48</v>
      </c>
      <c r="AK74" s="42">
        <v>2.42</v>
      </c>
      <c r="AL74" s="40" t="s">
        <v>267</v>
      </c>
    </row>
    <row r="75" spans="1:38" x14ac:dyDescent="0.35">
      <c r="A75" s="43">
        <v>45804</v>
      </c>
      <c r="B75" s="42">
        <v>294.75</v>
      </c>
      <c r="C75" s="42">
        <v>299.33999999999997</v>
      </c>
      <c r="D75" s="42">
        <v>298.37</v>
      </c>
      <c r="E75" s="42">
        <v>-0.98</v>
      </c>
      <c r="F75" s="42">
        <v>2.63</v>
      </c>
      <c r="G75" s="40" t="s">
        <v>267</v>
      </c>
      <c r="P75" s="43">
        <v>45804</v>
      </c>
      <c r="Q75" s="42">
        <v>294.75</v>
      </c>
      <c r="R75" s="42">
        <v>299.33999999999997</v>
      </c>
      <c r="S75" s="42">
        <v>298.37</v>
      </c>
      <c r="T75" s="42">
        <v>-0.98</v>
      </c>
      <c r="U75" s="42">
        <v>2.63</v>
      </c>
      <c r="V75" s="40" t="s">
        <v>267</v>
      </c>
      <c r="AF75" s="43">
        <v>45804</v>
      </c>
      <c r="AG75" s="42">
        <v>294.75</v>
      </c>
      <c r="AH75" s="42">
        <v>299.33999999999997</v>
      </c>
      <c r="AI75" s="42">
        <v>298.37</v>
      </c>
      <c r="AJ75" s="42">
        <v>-0.98</v>
      </c>
      <c r="AK75" s="42">
        <v>2.63</v>
      </c>
      <c r="AL75" s="40" t="s">
        <v>267</v>
      </c>
    </row>
    <row r="76" spans="1:38" x14ac:dyDescent="0.35">
      <c r="A76" s="43">
        <v>45803</v>
      </c>
      <c r="B76" s="42">
        <v>296.7</v>
      </c>
      <c r="C76" s="42">
        <v>299.70999999999998</v>
      </c>
      <c r="D76" s="42">
        <v>299.02</v>
      </c>
      <c r="E76" s="42">
        <v>-0.69</v>
      </c>
      <c r="F76" s="42">
        <v>2.82</v>
      </c>
      <c r="G76" s="40" t="s">
        <v>267</v>
      </c>
      <c r="P76" s="43">
        <v>45803</v>
      </c>
      <c r="Q76" s="42">
        <v>296.7</v>
      </c>
      <c r="R76" s="42">
        <v>299.70999999999998</v>
      </c>
      <c r="S76" s="42">
        <v>299.02</v>
      </c>
      <c r="T76" s="42">
        <v>-0.69</v>
      </c>
      <c r="U76" s="42">
        <v>2.82</v>
      </c>
      <c r="V76" s="40" t="s">
        <v>267</v>
      </c>
      <c r="AF76" s="43">
        <v>45803</v>
      </c>
      <c r="AG76" s="42">
        <v>296.7</v>
      </c>
      <c r="AH76" s="42">
        <v>299.70999999999998</v>
      </c>
      <c r="AI76" s="42">
        <v>299.02</v>
      </c>
      <c r="AJ76" s="42">
        <v>-0.69</v>
      </c>
      <c r="AK76" s="42">
        <v>2.82</v>
      </c>
      <c r="AL76" s="40" t="s">
        <v>267</v>
      </c>
    </row>
    <row r="77" spans="1:38" x14ac:dyDescent="0.35">
      <c r="A77" s="43">
        <v>45800</v>
      </c>
      <c r="B77" s="42">
        <v>298.05</v>
      </c>
      <c r="C77" s="42">
        <v>299.95</v>
      </c>
      <c r="D77" s="42">
        <v>299.44</v>
      </c>
      <c r="E77" s="42">
        <v>-0.51</v>
      </c>
      <c r="F77" s="42">
        <v>3.01</v>
      </c>
      <c r="G77" s="40" t="s">
        <v>267</v>
      </c>
      <c r="P77" s="43">
        <v>45800</v>
      </c>
      <c r="Q77" s="42">
        <v>298.05</v>
      </c>
      <c r="R77" s="42">
        <v>299.95</v>
      </c>
      <c r="S77" s="42">
        <v>299.44</v>
      </c>
      <c r="T77" s="42">
        <v>-0.51</v>
      </c>
      <c r="U77" s="42">
        <v>3.01</v>
      </c>
      <c r="V77" s="40" t="s">
        <v>267</v>
      </c>
      <c r="AF77" s="43">
        <v>45800</v>
      </c>
      <c r="AG77" s="42">
        <v>298.05</v>
      </c>
      <c r="AH77" s="42">
        <v>299.95</v>
      </c>
      <c r="AI77" s="42">
        <v>299.44</v>
      </c>
      <c r="AJ77" s="42">
        <v>-0.51</v>
      </c>
      <c r="AK77" s="42">
        <v>3.01</v>
      </c>
      <c r="AL77" s="40" t="s">
        <v>267</v>
      </c>
    </row>
    <row r="78" spans="1:38" x14ac:dyDescent="0.35">
      <c r="A78" s="43">
        <v>45799</v>
      </c>
      <c r="B78" s="42">
        <v>291</v>
      </c>
      <c r="C78" s="42">
        <v>300.10000000000002</v>
      </c>
      <c r="D78" s="42">
        <v>299.7</v>
      </c>
      <c r="E78" s="42">
        <v>-0.41</v>
      </c>
      <c r="F78" s="42">
        <v>3.2</v>
      </c>
      <c r="G78" s="40" t="s">
        <v>267</v>
      </c>
      <c r="P78" s="43">
        <v>45799</v>
      </c>
      <c r="Q78" s="42">
        <v>291</v>
      </c>
      <c r="R78" s="42">
        <v>300.10000000000002</v>
      </c>
      <c r="S78" s="42">
        <v>299.7</v>
      </c>
      <c r="T78" s="42">
        <v>-0.41</v>
      </c>
      <c r="U78" s="42">
        <v>3.2</v>
      </c>
      <c r="V78" s="40" t="s">
        <v>267</v>
      </c>
      <c r="AF78" s="43">
        <v>45799</v>
      </c>
      <c r="AG78" s="42">
        <v>291</v>
      </c>
      <c r="AH78" s="42">
        <v>300.10000000000002</v>
      </c>
      <c r="AI78" s="42">
        <v>299.7</v>
      </c>
      <c r="AJ78" s="42">
        <v>-0.41</v>
      </c>
      <c r="AK78" s="42">
        <v>3.2</v>
      </c>
      <c r="AL78" s="40" t="s">
        <v>267</v>
      </c>
    </row>
    <row r="79" spans="1:38" x14ac:dyDescent="0.35">
      <c r="A79" s="43">
        <v>45798</v>
      </c>
      <c r="B79" s="42">
        <v>296.14999999999998</v>
      </c>
      <c r="C79" s="42">
        <v>300.83</v>
      </c>
      <c r="D79" s="42">
        <v>301.27999999999997</v>
      </c>
      <c r="E79" s="42">
        <v>0.45</v>
      </c>
      <c r="F79" s="42">
        <v>3.4</v>
      </c>
      <c r="G79" s="40" t="s">
        <v>267</v>
      </c>
      <c r="P79" s="43">
        <v>45798</v>
      </c>
      <c r="Q79" s="42">
        <v>296.14999999999998</v>
      </c>
      <c r="R79" s="42">
        <v>300.83</v>
      </c>
      <c r="S79" s="42">
        <v>301.27999999999997</v>
      </c>
      <c r="T79" s="42">
        <v>0.45</v>
      </c>
      <c r="U79" s="42">
        <v>3.4</v>
      </c>
      <c r="V79" s="40" t="s">
        <v>267</v>
      </c>
      <c r="AF79" s="43">
        <v>45798</v>
      </c>
      <c r="AG79" s="42">
        <v>296.14999999999998</v>
      </c>
      <c r="AH79" s="42">
        <v>300.83</v>
      </c>
      <c r="AI79" s="42">
        <v>301.27999999999997</v>
      </c>
      <c r="AJ79" s="42">
        <v>0.45</v>
      </c>
      <c r="AK79" s="42">
        <v>3.4</v>
      </c>
      <c r="AL79" s="40" t="s">
        <v>267</v>
      </c>
    </row>
    <row r="80" spans="1:38" x14ac:dyDescent="0.35">
      <c r="A80" s="43">
        <v>45797</v>
      </c>
      <c r="B80" s="42">
        <v>298</v>
      </c>
      <c r="C80" s="42">
        <v>301.20999999999998</v>
      </c>
      <c r="D80" s="42">
        <v>302.20999999999998</v>
      </c>
      <c r="E80" s="42">
        <v>1.01</v>
      </c>
      <c r="F80" s="42">
        <v>3.56</v>
      </c>
      <c r="G80" s="40" t="s">
        <v>267</v>
      </c>
      <c r="P80" s="43">
        <v>45797</v>
      </c>
      <c r="Q80" s="42">
        <v>298</v>
      </c>
      <c r="R80" s="42">
        <v>301.20999999999998</v>
      </c>
      <c r="S80" s="42">
        <v>302.20999999999998</v>
      </c>
      <c r="T80" s="42">
        <v>1.01</v>
      </c>
      <c r="U80" s="42">
        <v>3.56</v>
      </c>
      <c r="V80" s="40" t="s">
        <v>267</v>
      </c>
      <c r="AF80" s="43">
        <v>45797</v>
      </c>
      <c r="AG80" s="42">
        <v>298</v>
      </c>
      <c r="AH80" s="42">
        <v>301.20999999999998</v>
      </c>
      <c r="AI80" s="42">
        <v>302.20999999999998</v>
      </c>
      <c r="AJ80" s="42">
        <v>1.01</v>
      </c>
      <c r="AK80" s="42">
        <v>3.56</v>
      </c>
      <c r="AL80" s="40" t="s">
        <v>267</v>
      </c>
    </row>
    <row r="81" spans="1:38" x14ac:dyDescent="0.35">
      <c r="A81" s="43">
        <v>45796</v>
      </c>
      <c r="B81" s="42">
        <v>304.10000000000002</v>
      </c>
      <c r="C81" s="42">
        <v>301.45999999999998</v>
      </c>
      <c r="D81" s="42">
        <v>302.98</v>
      </c>
      <c r="E81" s="42">
        <v>1.51</v>
      </c>
      <c r="F81" s="42">
        <v>3.7</v>
      </c>
      <c r="G81" s="40" t="s">
        <v>267</v>
      </c>
      <c r="P81" s="43">
        <v>45796</v>
      </c>
      <c r="Q81" s="42">
        <v>304.10000000000002</v>
      </c>
      <c r="R81" s="42">
        <v>301.45999999999998</v>
      </c>
      <c r="S81" s="42">
        <v>302.98</v>
      </c>
      <c r="T81" s="42">
        <v>1.51</v>
      </c>
      <c r="U81" s="42">
        <v>3.7</v>
      </c>
      <c r="V81" s="40" t="s">
        <v>267</v>
      </c>
      <c r="AF81" s="43">
        <v>45796</v>
      </c>
      <c r="AG81" s="42">
        <v>304.10000000000002</v>
      </c>
      <c r="AH81" s="42">
        <v>301.45999999999998</v>
      </c>
      <c r="AI81" s="42">
        <v>302.98</v>
      </c>
      <c r="AJ81" s="42">
        <v>1.51</v>
      </c>
      <c r="AK81" s="42">
        <v>3.7</v>
      </c>
      <c r="AL81" s="40" t="s">
        <v>267</v>
      </c>
    </row>
    <row r="82" spans="1:38" x14ac:dyDescent="0.35">
      <c r="A82" s="43">
        <v>45793</v>
      </c>
      <c r="B82" s="42">
        <v>300.3</v>
      </c>
      <c r="C82" s="42">
        <v>301.25</v>
      </c>
      <c r="D82" s="42">
        <v>302.77999999999997</v>
      </c>
      <c r="E82" s="42">
        <v>1.52</v>
      </c>
      <c r="F82" s="42">
        <v>3.81</v>
      </c>
      <c r="G82" s="40" t="s">
        <v>267</v>
      </c>
      <c r="P82" s="43">
        <v>45793</v>
      </c>
      <c r="Q82" s="42">
        <v>300.3</v>
      </c>
      <c r="R82" s="42">
        <v>301.25</v>
      </c>
      <c r="S82" s="42">
        <v>302.77999999999997</v>
      </c>
      <c r="T82" s="42">
        <v>1.52</v>
      </c>
      <c r="U82" s="42">
        <v>3.81</v>
      </c>
      <c r="V82" s="40" t="s">
        <v>267</v>
      </c>
      <c r="AF82" s="43">
        <v>45793</v>
      </c>
      <c r="AG82" s="42">
        <v>300.3</v>
      </c>
      <c r="AH82" s="42">
        <v>301.25</v>
      </c>
      <c r="AI82" s="42">
        <v>302.77999999999997</v>
      </c>
      <c r="AJ82" s="42">
        <v>1.52</v>
      </c>
      <c r="AK82" s="42">
        <v>3.81</v>
      </c>
      <c r="AL82" s="40" t="s">
        <v>267</v>
      </c>
    </row>
    <row r="83" spans="1:38" x14ac:dyDescent="0.35">
      <c r="A83" s="43">
        <v>45792</v>
      </c>
      <c r="B83" s="42">
        <v>299.60000000000002</v>
      </c>
      <c r="C83" s="42">
        <v>301.33</v>
      </c>
      <c r="D83" s="42">
        <v>303.23</v>
      </c>
      <c r="E83" s="42">
        <v>1.9</v>
      </c>
      <c r="F83" s="42">
        <v>3.94</v>
      </c>
      <c r="G83" s="40" t="s">
        <v>267</v>
      </c>
      <c r="P83" s="43">
        <v>45792</v>
      </c>
      <c r="Q83" s="42">
        <v>299.60000000000002</v>
      </c>
      <c r="R83" s="42">
        <v>301.33</v>
      </c>
      <c r="S83" s="42">
        <v>303.23</v>
      </c>
      <c r="T83" s="42">
        <v>1.9</v>
      </c>
      <c r="U83" s="42">
        <v>3.94</v>
      </c>
      <c r="V83" s="40" t="s">
        <v>267</v>
      </c>
      <c r="AF83" s="43">
        <v>45792</v>
      </c>
      <c r="AG83" s="42">
        <v>299.60000000000002</v>
      </c>
      <c r="AH83" s="42">
        <v>301.33</v>
      </c>
      <c r="AI83" s="42">
        <v>303.23</v>
      </c>
      <c r="AJ83" s="42">
        <v>1.9</v>
      </c>
      <c r="AK83" s="42">
        <v>3.94</v>
      </c>
      <c r="AL83" s="40" t="s">
        <v>267</v>
      </c>
    </row>
    <row r="84" spans="1:38" x14ac:dyDescent="0.35">
      <c r="A84" s="43">
        <v>45791</v>
      </c>
      <c r="B84" s="42">
        <v>296.05</v>
      </c>
      <c r="C84" s="42">
        <v>301.47000000000003</v>
      </c>
      <c r="D84" s="42">
        <v>303.88</v>
      </c>
      <c r="E84" s="42">
        <v>2.42</v>
      </c>
      <c r="F84" s="42">
        <v>4.05</v>
      </c>
      <c r="G84" s="40" t="s">
        <v>267</v>
      </c>
      <c r="P84" s="43">
        <v>45791</v>
      </c>
      <c r="Q84" s="42">
        <v>296.05</v>
      </c>
      <c r="R84" s="42">
        <v>301.47000000000003</v>
      </c>
      <c r="S84" s="42">
        <v>303.88</v>
      </c>
      <c r="T84" s="42">
        <v>2.42</v>
      </c>
      <c r="U84" s="42">
        <v>4.05</v>
      </c>
      <c r="V84" s="40" t="s">
        <v>267</v>
      </c>
      <c r="AF84" s="43">
        <v>45791</v>
      </c>
      <c r="AG84" s="42">
        <v>296.05</v>
      </c>
      <c r="AH84" s="42">
        <v>301.47000000000003</v>
      </c>
      <c r="AI84" s="42">
        <v>303.88</v>
      </c>
      <c r="AJ84" s="42">
        <v>2.42</v>
      </c>
      <c r="AK84" s="42">
        <v>4.05</v>
      </c>
      <c r="AL84" s="40" t="s">
        <v>267</v>
      </c>
    </row>
    <row r="85" spans="1:38" x14ac:dyDescent="0.35">
      <c r="A85" s="43">
        <v>45790</v>
      </c>
      <c r="B85" s="42">
        <v>298.55</v>
      </c>
      <c r="C85" s="42">
        <v>301.89999999999998</v>
      </c>
      <c r="D85" s="42">
        <v>305.31</v>
      </c>
      <c r="E85" s="42">
        <v>3.41</v>
      </c>
      <c r="F85" s="42">
        <v>4.1399999999999997</v>
      </c>
      <c r="G85" s="40" t="s">
        <v>267</v>
      </c>
      <c r="P85" s="43">
        <v>45790</v>
      </c>
      <c r="Q85" s="42">
        <v>298.55</v>
      </c>
      <c r="R85" s="42">
        <v>301.89999999999998</v>
      </c>
      <c r="S85" s="42">
        <v>305.31</v>
      </c>
      <c r="T85" s="42">
        <v>3.41</v>
      </c>
      <c r="U85" s="42">
        <v>4.1399999999999997</v>
      </c>
      <c r="V85" s="40" t="s">
        <v>267</v>
      </c>
      <c r="AF85" s="43">
        <v>45790</v>
      </c>
      <c r="AG85" s="42">
        <v>298.55</v>
      </c>
      <c r="AH85" s="42">
        <v>301.89999999999998</v>
      </c>
      <c r="AI85" s="42">
        <v>305.31</v>
      </c>
      <c r="AJ85" s="42">
        <v>3.41</v>
      </c>
      <c r="AK85" s="42">
        <v>4.1399999999999997</v>
      </c>
      <c r="AL85" s="40" t="s">
        <v>267</v>
      </c>
    </row>
    <row r="86" spans="1:38" x14ac:dyDescent="0.35">
      <c r="A86" s="43">
        <v>45789</v>
      </c>
      <c r="B86" s="42">
        <v>309.05</v>
      </c>
      <c r="C86" s="42">
        <v>302.17</v>
      </c>
      <c r="D86" s="42">
        <v>306.54000000000002</v>
      </c>
      <c r="E86" s="42">
        <v>4.37</v>
      </c>
      <c r="F86" s="42">
        <v>4.18</v>
      </c>
      <c r="G86" s="40" t="s">
        <v>265</v>
      </c>
      <c r="P86" s="43">
        <v>45789</v>
      </c>
      <c r="Q86" s="42">
        <v>309.05</v>
      </c>
      <c r="R86" s="42">
        <v>302.17</v>
      </c>
      <c r="S86" s="42">
        <v>306.54000000000002</v>
      </c>
      <c r="T86" s="42">
        <v>4.37</v>
      </c>
      <c r="U86" s="42">
        <v>4.18</v>
      </c>
      <c r="V86" s="40" t="s">
        <v>265</v>
      </c>
      <c r="AF86" s="43">
        <v>45789</v>
      </c>
      <c r="AG86" s="42">
        <v>309.05</v>
      </c>
      <c r="AH86" s="42">
        <v>302.17</v>
      </c>
      <c r="AI86" s="42">
        <v>306.54000000000002</v>
      </c>
      <c r="AJ86" s="42">
        <v>4.37</v>
      </c>
      <c r="AK86" s="42">
        <v>4.18</v>
      </c>
      <c r="AL86" s="40" t="s">
        <v>265</v>
      </c>
    </row>
    <row r="87" spans="1:38" x14ac:dyDescent="0.35">
      <c r="A87" s="43">
        <v>45786</v>
      </c>
      <c r="B87" s="42">
        <v>299.55</v>
      </c>
      <c r="C87" s="42">
        <v>301.62</v>
      </c>
      <c r="D87" s="42">
        <v>306.08</v>
      </c>
      <c r="E87" s="42">
        <v>4.46</v>
      </c>
      <c r="F87" s="42">
        <v>4.17</v>
      </c>
      <c r="G87" s="40" t="s">
        <v>265</v>
      </c>
      <c r="P87" s="43">
        <v>45786</v>
      </c>
      <c r="Q87" s="42">
        <v>299.55</v>
      </c>
      <c r="R87" s="42">
        <v>301.62</v>
      </c>
      <c r="S87" s="42">
        <v>306.08</v>
      </c>
      <c r="T87" s="42">
        <v>4.46</v>
      </c>
      <c r="U87" s="42">
        <v>4.17</v>
      </c>
      <c r="V87" s="40" t="s">
        <v>265</v>
      </c>
      <c r="AF87" s="43">
        <v>45786</v>
      </c>
      <c r="AG87" s="42">
        <v>299.55</v>
      </c>
      <c r="AH87" s="42">
        <v>301.62</v>
      </c>
      <c r="AI87" s="42">
        <v>306.08</v>
      </c>
      <c r="AJ87" s="42">
        <v>4.46</v>
      </c>
      <c r="AK87" s="42">
        <v>4.17</v>
      </c>
      <c r="AL87" s="40" t="s">
        <v>265</v>
      </c>
    </row>
    <row r="88" spans="1:38" x14ac:dyDescent="0.35">
      <c r="A88" s="43">
        <v>45785</v>
      </c>
      <c r="B88" s="42">
        <v>307.85000000000002</v>
      </c>
      <c r="C88" s="42">
        <v>301.77999999999997</v>
      </c>
      <c r="D88" s="42">
        <v>307.27</v>
      </c>
      <c r="E88" s="42">
        <v>5.48</v>
      </c>
      <c r="F88" s="42">
        <v>4.1500000000000004</v>
      </c>
      <c r="G88" s="40" t="s">
        <v>265</v>
      </c>
      <c r="P88" s="43">
        <v>45785</v>
      </c>
      <c r="Q88" s="42">
        <v>307.85000000000002</v>
      </c>
      <c r="R88" s="42">
        <v>301.77999999999997</v>
      </c>
      <c r="S88" s="42">
        <v>307.27</v>
      </c>
      <c r="T88" s="42">
        <v>5.48</v>
      </c>
      <c r="U88" s="42">
        <v>4.1500000000000004</v>
      </c>
      <c r="V88" s="40" t="s">
        <v>265</v>
      </c>
      <c r="AF88" s="43">
        <v>45785</v>
      </c>
      <c r="AG88" s="42">
        <v>307.85000000000002</v>
      </c>
      <c r="AH88" s="42">
        <v>301.77999999999997</v>
      </c>
      <c r="AI88" s="42">
        <v>307.27</v>
      </c>
      <c r="AJ88" s="42">
        <v>5.48</v>
      </c>
      <c r="AK88" s="42">
        <v>4.1500000000000004</v>
      </c>
      <c r="AL88" s="40" t="s">
        <v>265</v>
      </c>
    </row>
    <row r="89" spans="1:38" x14ac:dyDescent="0.35">
      <c r="A89" s="43">
        <v>45784</v>
      </c>
      <c r="B89" s="42">
        <v>311.25</v>
      </c>
      <c r="C89" s="42">
        <v>301.3</v>
      </c>
      <c r="D89" s="42">
        <v>307.16000000000003</v>
      </c>
      <c r="E89" s="42">
        <v>5.86</v>
      </c>
      <c r="F89" s="42">
        <v>4.08</v>
      </c>
      <c r="G89" s="40" t="s">
        <v>265</v>
      </c>
      <c r="P89" s="43">
        <v>45784</v>
      </c>
      <c r="Q89" s="42">
        <v>311.25</v>
      </c>
      <c r="R89" s="42">
        <v>301.3</v>
      </c>
      <c r="S89" s="42">
        <v>307.16000000000003</v>
      </c>
      <c r="T89" s="42">
        <v>5.86</v>
      </c>
      <c r="U89" s="42">
        <v>4.08</v>
      </c>
      <c r="V89" s="40" t="s">
        <v>265</v>
      </c>
      <c r="AF89" s="43">
        <v>45784</v>
      </c>
      <c r="AG89" s="42">
        <v>311.25</v>
      </c>
      <c r="AH89" s="42">
        <v>301.3</v>
      </c>
      <c r="AI89" s="42">
        <v>307.16000000000003</v>
      </c>
      <c r="AJ89" s="42">
        <v>5.86</v>
      </c>
      <c r="AK89" s="42">
        <v>4.08</v>
      </c>
      <c r="AL89" s="40" t="s">
        <v>265</v>
      </c>
    </row>
    <row r="90" spans="1:38" x14ac:dyDescent="0.35">
      <c r="A90" s="43">
        <v>45783</v>
      </c>
      <c r="B90" s="42">
        <v>307.7</v>
      </c>
      <c r="C90" s="42">
        <v>300.5</v>
      </c>
      <c r="D90" s="42">
        <v>306.42</v>
      </c>
      <c r="E90" s="42">
        <v>5.92</v>
      </c>
      <c r="F90" s="42">
        <v>3.98</v>
      </c>
      <c r="G90" s="40" t="s">
        <v>265</v>
      </c>
      <c r="P90" s="43">
        <v>45783</v>
      </c>
      <c r="Q90" s="42">
        <v>307.7</v>
      </c>
      <c r="R90" s="42">
        <v>300.5</v>
      </c>
      <c r="S90" s="42">
        <v>306.42</v>
      </c>
      <c r="T90" s="42">
        <v>5.92</v>
      </c>
      <c r="U90" s="42">
        <v>3.98</v>
      </c>
      <c r="V90" s="40" t="s">
        <v>265</v>
      </c>
      <c r="AF90" s="43">
        <v>45783</v>
      </c>
      <c r="AG90" s="42">
        <v>307.7</v>
      </c>
      <c r="AH90" s="42">
        <v>300.5</v>
      </c>
      <c r="AI90" s="42">
        <v>306.42</v>
      </c>
      <c r="AJ90" s="42">
        <v>5.92</v>
      </c>
      <c r="AK90" s="42">
        <v>3.98</v>
      </c>
      <c r="AL90" s="40" t="s">
        <v>265</v>
      </c>
    </row>
    <row r="91" spans="1:38" x14ac:dyDescent="0.35">
      <c r="A91" s="43">
        <v>45782</v>
      </c>
      <c r="B91" s="42">
        <v>308.55</v>
      </c>
      <c r="C91" s="42">
        <v>299.93</v>
      </c>
      <c r="D91" s="42">
        <v>306.19</v>
      </c>
      <c r="E91" s="42">
        <v>6.26</v>
      </c>
      <c r="F91" s="42">
        <v>3.88</v>
      </c>
      <c r="G91" s="40" t="s">
        <v>265</v>
      </c>
      <c r="P91" s="43">
        <v>45782</v>
      </c>
      <c r="Q91" s="42">
        <v>308.55</v>
      </c>
      <c r="R91" s="42">
        <v>299.93</v>
      </c>
      <c r="S91" s="42">
        <v>306.19</v>
      </c>
      <c r="T91" s="42">
        <v>6.26</v>
      </c>
      <c r="U91" s="42">
        <v>3.88</v>
      </c>
      <c r="V91" s="40" t="s">
        <v>265</v>
      </c>
      <c r="AF91" s="43">
        <v>45782</v>
      </c>
      <c r="AG91" s="42">
        <v>308.55</v>
      </c>
      <c r="AH91" s="42">
        <v>299.93</v>
      </c>
      <c r="AI91" s="42">
        <v>306.19</v>
      </c>
      <c r="AJ91" s="42">
        <v>6.26</v>
      </c>
      <c r="AK91" s="42">
        <v>3.88</v>
      </c>
      <c r="AL91" s="40" t="s">
        <v>265</v>
      </c>
    </row>
    <row r="92" spans="1:38" x14ac:dyDescent="0.35">
      <c r="A92" s="43">
        <v>45779</v>
      </c>
      <c r="B92" s="42">
        <v>304.05</v>
      </c>
      <c r="C92" s="42">
        <v>299.24</v>
      </c>
      <c r="D92" s="42">
        <v>305.76</v>
      </c>
      <c r="E92" s="42">
        <v>6.52</v>
      </c>
      <c r="F92" s="42">
        <v>3.75</v>
      </c>
      <c r="G92" s="40" t="s">
        <v>265</v>
      </c>
      <c r="P92" s="43">
        <v>45779</v>
      </c>
      <c r="Q92" s="42">
        <v>304.05</v>
      </c>
      <c r="R92" s="42">
        <v>299.24</v>
      </c>
      <c r="S92" s="42">
        <v>305.76</v>
      </c>
      <c r="T92" s="42">
        <v>6.52</v>
      </c>
      <c r="U92" s="42">
        <v>3.75</v>
      </c>
      <c r="V92" s="40" t="s">
        <v>265</v>
      </c>
      <c r="AF92" s="43">
        <v>45779</v>
      </c>
      <c r="AG92" s="42">
        <v>304.05</v>
      </c>
      <c r="AH92" s="42">
        <v>299.24</v>
      </c>
      <c r="AI92" s="42">
        <v>305.76</v>
      </c>
      <c r="AJ92" s="42">
        <v>6.52</v>
      </c>
      <c r="AK92" s="42">
        <v>3.75</v>
      </c>
      <c r="AL92" s="40" t="s">
        <v>265</v>
      </c>
    </row>
    <row r="93" spans="1:38" x14ac:dyDescent="0.35">
      <c r="A93" s="43">
        <v>45777</v>
      </c>
      <c r="B93" s="42">
        <v>306.64999999999998</v>
      </c>
      <c r="C93" s="42">
        <v>298.85000000000002</v>
      </c>
      <c r="D93" s="42">
        <v>306.07</v>
      </c>
      <c r="E93" s="42">
        <v>7.21</v>
      </c>
      <c r="F93" s="42">
        <v>3.6</v>
      </c>
      <c r="G93" s="40" t="s">
        <v>265</v>
      </c>
      <c r="P93" s="43">
        <v>45777</v>
      </c>
      <c r="Q93" s="42">
        <v>306.64999999999998</v>
      </c>
      <c r="R93" s="42">
        <v>298.85000000000002</v>
      </c>
      <c r="S93" s="42">
        <v>306.07</v>
      </c>
      <c r="T93" s="42">
        <v>7.21</v>
      </c>
      <c r="U93" s="42">
        <v>3.6</v>
      </c>
      <c r="V93" s="40" t="s">
        <v>265</v>
      </c>
      <c r="AF93" s="43">
        <v>45777</v>
      </c>
      <c r="AG93" s="42">
        <v>306.64999999999998</v>
      </c>
      <c r="AH93" s="42">
        <v>298.85000000000002</v>
      </c>
      <c r="AI93" s="42">
        <v>306.07</v>
      </c>
      <c r="AJ93" s="42">
        <v>7.21</v>
      </c>
      <c r="AK93" s="42">
        <v>3.6</v>
      </c>
      <c r="AL93" s="40" t="s">
        <v>265</v>
      </c>
    </row>
    <row r="94" spans="1:38" x14ac:dyDescent="0.35">
      <c r="A94" s="43">
        <v>45776</v>
      </c>
      <c r="B94" s="42">
        <v>303.25</v>
      </c>
      <c r="C94" s="42">
        <v>298.23</v>
      </c>
      <c r="D94" s="42">
        <v>305.95999999999998</v>
      </c>
      <c r="E94" s="42">
        <v>7.73</v>
      </c>
      <c r="F94" s="42">
        <v>3.4</v>
      </c>
      <c r="G94" s="40" t="s">
        <v>265</v>
      </c>
      <c r="P94" s="43">
        <v>45776</v>
      </c>
      <c r="Q94" s="42">
        <v>303.25</v>
      </c>
      <c r="R94" s="42">
        <v>298.23</v>
      </c>
      <c r="S94" s="42">
        <v>305.95999999999998</v>
      </c>
      <c r="T94" s="42">
        <v>7.73</v>
      </c>
      <c r="U94" s="42">
        <v>3.4</v>
      </c>
      <c r="V94" s="40" t="s">
        <v>265</v>
      </c>
      <c r="AF94" s="43">
        <v>45776</v>
      </c>
      <c r="AG94" s="42">
        <v>303.25</v>
      </c>
      <c r="AH94" s="42">
        <v>298.23</v>
      </c>
      <c r="AI94" s="42">
        <v>305.95999999999998</v>
      </c>
      <c r="AJ94" s="42">
        <v>7.73</v>
      </c>
      <c r="AK94" s="42">
        <v>3.4</v>
      </c>
      <c r="AL94" s="40" t="s">
        <v>265</v>
      </c>
    </row>
    <row r="95" spans="1:38" x14ac:dyDescent="0.35">
      <c r="A95" s="43">
        <v>45775</v>
      </c>
      <c r="B95" s="42">
        <v>308.64999999999998</v>
      </c>
      <c r="C95" s="42">
        <v>297.83</v>
      </c>
      <c r="D95" s="42">
        <v>306.45</v>
      </c>
      <c r="E95" s="42">
        <v>8.6300000000000008</v>
      </c>
      <c r="F95" s="42">
        <v>3.17</v>
      </c>
      <c r="G95" s="40" t="s">
        <v>265</v>
      </c>
      <c r="P95" s="43">
        <v>45775</v>
      </c>
      <c r="Q95" s="42">
        <v>308.64999999999998</v>
      </c>
      <c r="R95" s="42">
        <v>297.83</v>
      </c>
      <c r="S95" s="42">
        <v>306.45</v>
      </c>
      <c r="T95" s="42">
        <v>8.6300000000000008</v>
      </c>
      <c r="U95" s="42">
        <v>3.17</v>
      </c>
      <c r="V95" s="40" t="s">
        <v>265</v>
      </c>
      <c r="AF95" s="43">
        <v>45775</v>
      </c>
      <c r="AG95" s="42">
        <v>308.64999999999998</v>
      </c>
      <c r="AH95" s="42">
        <v>297.83</v>
      </c>
      <c r="AI95" s="42">
        <v>306.45</v>
      </c>
      <c r="AJ95" s="42">
        <v>8.6300000000000008</v>
      </c>
      <c r="AK95" s="42">
        <v>3.17</v>
      </c>
      <c r="AL95" s="40" t="s">
        <v>265</v>
      </c>
    </row>
    <row r="96" spans="1:38" x14ac:dyDescent="0.35">
      <c r="A96" s="43">
        <v>45772</v>
      </c>
      <c r="B96" s="42">
        <v>306.25</v>
      </c>
      <c r="C96" s="42">
        <v>296.95999999999998</v>
      </c>
      <c r="D96" s="42">
        <v>306.05</v>
      </c>
      <c r="E96" s="42">
        <v>9.09</v>
      </c>
      <c r="F96" s="42">
        <v>2.87</v>
      </c>
      <c r="G96" s="40" t="s">
        <v>265</v>
      </c>
      <c r="P96" s="43">
        <v>45772</v>
      </c>
      <c r="Q96" s="42">
        <v>306.25</v>
      </c>
      <c r="R96" s="42">
        <v>296.95999999999998</v>
      </c>
      <c r="S96" s="42">
        <v>306.05</v>
      </c>
      <c r="T96" s="42">
        <v>9.09</v>
      </c>
      <c r="U96" s="42">
        <v>2.87</v>
      </c>
      <c r="V96" s="40" t="s">
        <v>265</v>
      </c>
      <c r="AF96" s="43">
        <v>45772</v>
      </c>
      <c r="AG96" s="42">
        <v>306.25</v>
      </c>
      <c r="AH96" s="42">
        <v>296.95999999999998</v>
      </c>
      <c r="AI96" s="42">
        <v>306.05</v>
      </c>
      <c r="AJ96" s="42">
        <v>9.09</v>
      </c>
      <c r="AK96" s="42">
        <v>2.87</v>
      </c>
      <c r="AL96" s="40" t="s">
        <v>265</v>
      </c>
    </row>
    <row r="97" spans="1:38" x14ac:dyDescent="0.35">
      <c r="A97" s="43">
        <v>45771</v>
      </c>
      <c r="B97" s="42">
        <v>314.3</v>
      </c>
      <c r="C97" s="42">
        <v>296.22000000000003</v>
      </c>
      <c r="D97" s="42">
        <v>306.02</v>
      </c>
      <c r="E97" s="42">
        <v>9.8000000000000007</v>
      </c>
      <c r="F97" s="42">
        <v>2.54</v>
      </c>
      <c r="G97" s="40" t="s">
        <v>265</v>
      </c>
      <c r="P97" s="43">
        <v>45771</v>
      </c>
      <c r="Q97" s="42">
        <v>314.3</v>
      </c>
      <c r="R97" s="42">
        <v>296.22000000000003</v>
      </c>
      <c r="S97" s="42">
        <v>306.02</v>
      </c>
      <c r="T97" s="42">
        <v>9.8000000000000007</v>
      </c>
      <c r="U97" s="42">
        <v>2.54</v>
      </c>
      <c r="V97" s="40" t="s">
        <v>265</v>
      </c>
      <c r="AF97" s="43">
        <v>45771</v>
      </c>
      <c r="AG97" s="42">
        <v>314.3</v>
      </c>
      <c r="AH97" s="42">
        <v>296.22000000000003</v>
      </c>
      <c r="AI97" s="42">
        <v>306.02</v>
      </c>
      <c r="AJ97" s="42">
        <v>9.8000000000000007</v>
      </c>
      <c r="AK97" s="42">
        <v>2.54</v>
      </c>
      <c r="AL97" s="40" t="s">
        <v>265</v>
      </c>
    </row>
    <row r="98" spans="1:38" x14ac:dyDescent="0.35">
      <c r="A98" s="43">
        <v>45770</v>
      </c>
      <c r="B98" s="42">
        <v>314.89999999999998</v>
      </c>
      <c r="C98" s="42">
        <v>294.77</v>
      </c>
      <c r="D98" s="42">
        <v>304.51</v>
      </c>
      <c r="E98" s="42">
        <v>9.74</v>
      </c>
      <c r="F98" s="42">
        <v>2.15</v>
      </c>
      <c r="G98" s="40" t="s">
        <v>265</v>
      </c>
      <c r="P98" s="43">
        <v>45770</v>
      </c>
      <c r="Q98" s="42">
        <v>314.89999999999998</v>
      </c>
      <c r="R98" s="42">
        <v>294.77</v>
      </c>
      <c r="S98" s="42">
        <v>304.51</v>
      </c>
      <c r="T98" s="42">
        <v>9.74</v>
      </c>
      <c r="U98" s="42">
        <v>2.15</v>
      </c>
      <c r="V98" s="40" t="s">
        <v>265</v>
      </c>
      <c r="AF98" s="43">
        <v>45770</v>
      </c>
      <c r="AG98" s="42">
        <v>314.89999999999998</v>
      </c>
      <c r="AH98" s="42">
        <v>294.77</v>
      </c>
      <c r="AI98" s="42">
        <v>304.51</v>
      </c>
      <c r="AJ98" s="42">
        <v>9.74</v>
      </c>
      <c r="AK98" s="42">
        <v>2.15</v>
      </c>
      <c r="AL98" s="40" t="s">
        <v>265</v>
      </c>
    </row>
    <row r="99" spans="1:38" x14ac:dyDescent="0.35">
      <c r="A99" s="43">
        <v>45769</v>
      </c>
      <c r="B99" s="42">
        <v>312.60000000000002</v>
      </c>
      <c r="C99" s="42">
        <v>293.16000000000003</v>
      </c>
      <c r="D99" s="42">
        <v>302.62</v>
      </c>
      <c r="E99" s="42">
        <v>9.4600000000000009</v>
      </c>
      <c r="F99" s="42">
        <v>1.73</v>
      </c>
      <c r="G99" s="40" t="s">
        <v>265</v>
      </c>
      <c r="P99" s="43">
        <v>45769</v>
      </c>
      <c r="Q99" s="42">
        <v>312.60000000000002</v>
      </c>
      <c r="R99" s="42">
        <v>293.16000000000003</v>
      </c>
      <c r="S99" s="42">
        <v>302.62</v>
      </c>
      <c r="T99" s="42">
        <v>9.4600000000000009</v>
      </c>
      <c r="U99" s="42">
        <v>1.73</v>
      </c>
      <c r="V99" s="40" t="s">
        <v>265</v>
      </c>
      <c r="AF99" s="43">
        <v>45769</v>
      </c>
      <c r="AG99" s="42">
        <v>312.60000000000002</v>
      </c>
      <c r="AH99" s="42">
        <v>293.16000000000003</v>
      </c>
      <c r="AI99" s="42">
        <v>302.62</v>
      </c>
      <c r="AJ99" s="42">
        <v>9.4600000000000009</v>
      </c>
      <c r="AK99" s="42">
        <v>1.73</v>
      </c>
      <c r="AL99" s="40" t="s">
        <v>265</v>
      </c>
    </row>
    <row r="100" spans="1:38" x14ac:dyDescent="0.35">
      <c r="A100" s="43">
        <v>45768</v>
      </c>
      <c r="B100" s="42">
        <v>319.95</v>
      </c>
      <c r="C100" s="42">
        <v>291.61</v>
      </c>
      <c r="D100" s="42">
        <v>300.81</v>
      </c>
      <c r="E100" s="42">
        <v>9.1999999999999993</v>
      </c>
      <c r="F100" s="42">
        <v>1.32</v>
      </c>
      <c r="G100" s="40" t="s">
        <v>265</v>
      </c>
      <c r="P100" s="43">
        <v>45768</v>
      </c>
      <c r="Q100" s="42">
        <v>319.95</v>
      </c>
      <c r="R100" s="42">
        <v>291.61</v>
      </c>
      <c r="S100" s="42">
        <v>300.81</v>
      </c>
      <c r="T100" s="42">
        <v>9.1999999999999993</v>
      </c>
      <c r="U100" s="42">
        <v>1.32</v>
      </c>
      <c r="V100" s="40" t="s">
        <v>265</v>
      </c>
      <c r="AF100" s="43">
        <v>45768</v>
      </c>
      <c r="AG100" s="42">
        <v>319.95</v>
      </c>
      <c r="AH100" s="42">
        <v>291.61</v>
      </c>
      <c r="AI100" s="42">
        <v>300.81</v>
      </c>
      <c r="AJ100" s="42">
        <v>9.1999999999999993</v>
      </c>
      <c r="AK100" s="42">
        <v>1.32</v>
      </c>
      <c r="AL100" s="40" t="s">
        <v>265</v>
      </c>
    </row>
    <row r="101" spans="1:38" x14ac:dyDescent="0.35">
      <c r="A101" s="43">
        <v>45764</v>
      </c>
      <c r="B101" s="42">
        <v>308.8</v>
      </c>
      <c r="C101" s="42">
        <v>289.33999999999997</v>
      </c>
      <c r="D101" s="42">
        <v>297.33</v>
      </c>
      <c r="E101" s="42">
        <v>7.99</v>
      </c>
      <c r="F101" s="42">
        <v>0.89</v>
      </c>
      <c r="G101" s="40" t="s">
        <v>265</v>
      </c>
      <c r="P101" s="43">
        <v>45764</v>
      </c>
      <c r="Q101" s="42">
        <v>308.8</v>
      </c>
      <c r="R101" s="42">
        <v>289.33999999999997</v>
      </c>
      <c r="S101" s="42">
        <v>297.33</v>
      </c>
      <c r="T101" s="42">
        <v>7.99</v>
      </c>
      <c r="U101" s="42">
        <v>0.89</v>
      </c>
      <c r="V101" s="40" t="s">
        <v>265</v>
      </c>
      <c r="AF101" s="43">
        <v>45764</v>
      </c>
      <c r="AG101" s="42">
        <v>308.8</v>
      </c>
      <c r="AH101" s="42">
        <v>289.33999999999997</v>
      </c>
      <c r="AI101" s="42">
        <v>297.33</v>
      </c>
      <c r="AJ101" s="42">
        <v>7.99</v>
      </c>
      <c r="AK101" s="42">
        <v>0.89</v>
      </c>
      <c r="AL101" s="40" t="s">
        <v>265</v>
      </c>
    </row>
    <row r="102" spans="1:38" x14ac:dyDescent="0.35">
      <c r="A102" s="43">
        <v>45763</v>
      </c>
      <c r="B102" s="42">
        <v>305.85000000000002</v>
      </c>
      <c r="C102" s="42">
        <v>287.77999999999997</v>
      </c>
      <c r="D102" s="42">
        <v>295.24</v>
      </c>
      <c r="E102" s="42">
        <v>7.46</v>
      </c>
      <c r="F102" s="42">
        <v>0.51</v>
      </c>
      <c r="G102" s="40" t="s">
        <v>265</v>
      </c>
      <c r="P102" s="43">
        <v>45763</v>
      </c>
      <c r="Q102" s="42">
        <v>305.85000000000002</v>
      </c>
      <c r="R102" s="42">
        <v>287.77999999999997</v>
      </c>
      <c r="S102" s="42">
        <v>295.24</v>
      </c>
      <c r="T102" s="42">
        <v>7.46</v>
      </c>
      <c r="U102" s="42">
        <v>0.51</v>
      </c>
      <c r="V102" s="40" t="s">
        <v>265</v>
      </c>
      <c r="AF102" s="43">
        <v>45763</v>
      </c>
      <c r="AG102" s="42">
        <v>305.85000000000002</v>
      </c>
      <c r="AH102" s="42">
        <v>287.77999999999997</v>
      </c>
      <c r="AI102" s="42">
        <v>295.24</v>
      </c>
      <c r="AJ102" s="42">
        <v>7.46</v>
      </c>
      <c r="AK102" s="42">
        <v>0.51</v>
      </c>
      <c r="AL102" s="40" t="s">
        <v>265</v>
      </c>
    </row>
    <row r="103" spans="1:38" x14ac:dyDescent="0.35">
      <c r="A103" s="43">
        <v>45762</v>
      </c>
      <c r="B103" s="42">
        <v>304.45</v>
      </c>
      <c r="C103" s="42">
        <v>286.33999999999997</v>
      </c>
      <c r="D103" s="42">
        <v>293.31</v>
      </c>
      <c r="E103" s="42">
        <v>6.98</v>
      </c>
      <c r="F103" s="42">
        <v>0.13</v>
      </c>
      <c r="G103" s="40" t="s">
        <v>265</v>
      </c>
      <c r="P103" s="43">
        <v>45762</v>
      </c>
      <c r="Q103" s="42">
        <v>304.45</v>
      </c>
      <c r="R103" s="42">
        <v>286.33999999999997</v>
      </c>
      <c r="S103" s="42">
        <v>293.31</v>
      </c>
      <c r="T103" s="42">
        <v>6.98</v>
      </c>
      <c r="U103" s="42">
        <v>0.13</v>
      </c>
      <c r="V103" s="40" t="s">
        <v>265</v>
      </c>
      <c r="AF103" s="43">
        <v>45762</v>
      </c>
      <c r="AG103" s="42">
        <v>304.45</v>
      </c>
      <c r="AH103" s="42">
        <v>286.33999999999997</v>
      </c>
      <c r="AI103" s="42">
        <v>293.31</v>
      </c>
      <c r="AJ103" s="42">
        <v>6.98</v>
      </c>
      <c r="AK103" s="42">
        <v>0.13</v>
      </c>
      <c r="AL103" s="40" t="s">
        <v>265</v>
      </c>
    </row>
    <row r="104" spans="1:38" x14ac:dyDescent="0.35">
      <c r="A104" s="43">
        <v>45758</v>
      </c>
      <c r="B104" s="42">
        <v>304.10000000000002</v>
      </c>
      <c r="C104" s="42">
        <v>284.89</v>
      </c>
      <c r="D104" s="42">
        <v>291.29000000000002</v>
      </c>
      <c r="E104" s="42">
        <v>6.4</v>
      </c>
      <c r="F104" s="42">
        <v>-0.24</v>
      </c>
      <c r="G104" s="40" t="s">
        <v>265</v>
      </c>
      <c r="P104" s="43">
        <v>45758</v>
      </c>
      <c r="Q104" s="42">
        <v>304.10000000000002</v>
      </c>
      <c r="R104" s="42">
        <v>284.89</v>
      </c>
      <c r="S104" s="42">
        <v>291.29000000000002</v>
      </c>
      <c r="T104" s="42">
        <v>6.4</v>
      </c>
      <c r="U104" s="42">
        <v>-0.24</v>
      </c>
      <c r="V104" s="40" t="s">
        <v>265</v>
      </c>
      <c r="AF104" s="43">
        <v>45758</v>
      </c>
      <c r="AG104" s="42">
        <v>304.10000000000002</v>
      </c>
      <c r="AH104" s="42">
        <v>284.89</v>
      </c>
      <c r="AI104" s="42">
        <v>291.29000000000002</v>
      </c>
      <c r="AJ104" s="42">
        <v>6.4</v>
      </c>
      <c r="AK104" s="42">
        <v>-0.24</v>
      </c>
      <c r="AL104" s="40" t="s">
        <v>265</v>
      </c>
    </row>
    <row r="105" spans="1:38" x14ac:dyDescent="0.35">
      <c r="A105" s="43">
        <v>45756</v>
      </c>
      <c r="B105" s="42">
        <v>293.3</v>
      </c>
      <c r="C105" s="42">
        <v>283.35000000000002</v>
      </c>
      <c r="D105" s="42">
        <v>288.95999999999998</v>
      </c>
      <c r="E105" s="42">
        <v>5.61</v>
      </c>
      <c r="F105" s="42">
        <v>-0.6</v>
      </c>
      <c r="G105" s="40" t="s">
        <v>265</v>
      </c>
      <c r="P105" s="43">
        <v>45756</v>
      </c>
      <c r="Q105" s="42">
        <v>293.3</v>
      </c>
      <c r="R105" s="42">
        <v>283.35000000000002</v>
      </c>
      <c r="S105" s="42">
        <v>288.95999999999998</v>
      </c>
      <c r="T105" s="42">
        <v>5.61</v>
      </c>
      <c r="U105" s="42">
        <v>-0.6</v>
      </c>
      <c r="V105" s="40" t="s">
        <v>265</v>
      </c>
      <c r="AF105" s="43">
        <v>45756</v>
      </c>
      <c r="AG105" s="42">
        <v>293.3</v>
      </c>
      <c r="AH105" s="42">
        <v>283.35000000000002</v>
      </c>
      <c r="AI105" s="42">
        <v>288.95999999999998</v>
      </c>
      <c r="AJ105" s="42">
        <v>5.61</v>
      </c>
      <c r="AK105" s="42">
        <v>-0.6</v>
      </c>
      <c r="AL105" s="40" t="s">
        <v>265</v>
      </c>
    </row>
    <row r="106" spans="1:38" x14ac:dyDescent="0.35">
      <c r="A106" s="43">
        <v>45755</v>
      </c>
      <c r="B106" s="42">
        <v>288.8</v>
      </c>
      <c r="C106" s="42">
        <v>282.55</v>
      </c>
      <c r="D106" s="42">
        <v>288.17</v>
      </c>
      <c r="E106" s="42">
        <v>5.62</v>
      </c>
      <c r="F106" s="42">
        <v>-0.93</v>
      </c>
      <c r="G106" s="40" t="s">
        <v>265</v>
      </c>
      <c r="P106" s="43">
        <v>45755</v>
      </c>
      <c r="Q106" s="42">
        <v>288.8</v>
      </c>
      <c r="R106" s="42">
        <v>282.55</v>
      </c>
      <c r="S106" s="42">
        <v>288.17</v>
      </c>
      <c r="T106" s="42">
        <v>5.62</v>
      </c>
      <c r="U106" s="42">
        <v>-0.93</v>
      </c>
      <c r="V106" s="40" t="s">
        <v>265</v>
      </c>
      <c r="AF106" s="43">
        <v>45755</v>
      </c>
      <c r="AG106" s="42">
        <v>288.8</v>
      </c>
      <c r="AH106" s="42">
        <v>282.55</v>
      </c>
      <c r="AI106" s="42">
        <v>288.17</v>
      </c>
      <c r="AJ106" s="42">
        <v>5.62</v>
      </c>
      <c r="AK106" s="42">
        <v>-0.93</v>
      </c>
      <c r="AL106" s="40" t="s">
        <v>265</v>
      </c>
    </row>
    <row r="107" spans="1:38" x14ac:dyDescent="0.35">
      <c r="A107" s="43">
        <v>45754</v>
      </c>
      <c r="B107" s="42">
        <v>289.35000000000002</v>
      </c>
      <c r="C107" s="42">
        <v>282.05</v>
      </c>
      <c r="D107" s="42">
        <v>288.06</v>
      </c>
      <c r="E107" s="42">
        <v>6</v>
      </c>
      <c r="F107" s="42">
        <v>-1.29</v>
      </c>
      <c r="G107" s="40" t="s">
        <v>265</v>
      </c>
      <c r="P107" s="43">
        <v>45754</v>
      </c>
      <c r="Q107" s="42">
        <v>289.35000000000002</v>
      </c>
      <c r="R107" s="42">
        <v>282.05</v>
      </c>
      <c r="S107" s="42">
        <v>288.06</v>
      </c>
      <c r="T107" s="42">
        <v>6</v>
      </c>
      <c r="U107" s="42">
        <v>-1.29</v>
      </c>
      <c r="V107" s="40" t="s">
        <v>265</v>
      </c>
      <c r="AF107" s="43">
        <v>45754</v>
      </c>
      <c r="AG107" s="42">
        <v>289.35000000000002</v>
      </c>
      <c r="AH107" s="42">
        <v>282.05</v>
      </c>
      <c r="AI107" s="42">
        <v>288.06</v>
      </c>
      <c r="AJ107" s="42">
        <v>6</v>
      </c>
      <c r="AK107" s="42">
        <v>-1.29</v>
      </c>
      <c r="AL107" s="40" t="s">
        <v>265</v>
      </c>
    </row>
    <row r="108" spans="1:38" x14ac:dyDescent="0.35">
      <c r="A108" s="43">
        <v>45751</v>
      </c>
      <c r="B108" s="42">
        <v>293.8</v>
      </c>
      <c r="C108" s="42">
        <v>281.47000000000003</v>
      </c>
      <c r="D108" s="42">
        <v>287.82</v>
      </c>
      <c r="E108" s="42">
        <v>6.35</v>
      </c>
      <c r="F108" s="42">
        <v>-1.68</v>
      </c>
      <c r="G108" s="40" t="s">
        <v>265</v>
      </c>
      <c r="P108" s="43">
        <v>45751</v>
      </c>
      <c r="Q108" s="42">
        <v>293.8</v>
      </c>
      <c r="R108" s="42">
        <v>281.47000000000003</v>
      </c>
      <c r="S108" s="42">
        <v>287.82</v>
      </c>
      <c r="T108" s="42">
        <v>6.35</v>
      </c>
      <c r="U108" s="42">
        <v>-1.68</v>
      </c>
      <c r="V108" s="40" t="s">
        <v>265</v>
      </c>
      <c r="AF108" s="43">
        <v>45751</v>
      </c>
      <c r="AG108" s="42">
        <v>293.8</v>
      </c>
      <c r="AH108" s="42">
        <v>281.47000000000003</v>
      </c>
      <c r="AI108" s="42">
        <v>287.82</v>
      </c>
      <c r="AJ108" s="42">
        <v>6.35</v>
      </c>
      <c r="AK108" s="42">
        <v>-1.68</v>
      </c>
      <c r="AL108" s="40" t="s">
        <v>265</v>
      </c>
    </row>
    <row r="109" spans="1:38" x14ac:dyDescent="0.35">
      <c r="A109" s="43">
        <v>45750</v>
      </c>
      <c r="B109" s="42">
        <v>299.14999999999998</v>
      </c>
      <c r="C109" s="42">
        <v>280.48</v>
      </c>
      <c r="D109" s="42">
        <v>286.73</v>
      </c>
      <c r="E109" s="42">
        <v>6.25</v>
      </c>
      <c r="F109" s="42">
        <v>-2.12</v>
      </c>
      <c r="G109" s="40" t="s">
        <v>265</v>
      </c>
      <c r="P109" s="43">
        <v>45750</v>
      </c>
      <c r="Q109" s="42">
        <v>299.14999999999998</v>
      </c>
      <c r="R109" s="42">
        <v>280.48</v>
      </c>
      <c r="S109" s="42">
        <v>286.73</v>
      </c>
      <c r="T109" s="42">
        <v>6.25</v>
      </c>
      <c r="U109" s="42">
        <v>-2.12</v>
      </c>
      <c r="V109" s="40" t="s">
        <v>265</v>
      </c>
      <c r="AF109" s="43">
        <v>45750</v>
      </c>
      <c r="AG109" s="42">
        <v>299.14999999999998</v>
      </c>
      <c r="AH109" s="42">
        <v>280.48</v>
      </c>
      <c r="AI109" s="42">
        <v>286.73</v>
      </c>
      <c r="AJ109" s="42">
        <v>6.25</v>
      </c>
      <c r="AK109" s="42">
        <v>-2.12</v>
      </c>
      <c r="AL109" s="40" t="s">
        <v>265</v>
      </c>
    </row>
    <row r="110" spans="1:38" x14ac:dyDescent="0.35">
      <c r="A110" s="43">
        <v>45749</v>
      </c>
      <c r="B110" s="42">
        <v>286.7</v>
      </c>
      <c r="C110" s="42">
        <v>278.99</v>
      </c>
      <c r="D110" s="42">
        <v>284.48</v>
      </c>
      <c r="E110" s="42">
        <v>5.49</v>
      </c>
      <c r="F110" s="42">
        <v>-2.57</v>
      </c>
      <c r="G110" s="40" t="s">
        <v>265</v>
      </c>
      <c r="P110" s="43">
        <v>45749</v>
      </c>
      <c r="Q110" s="42">
        <v>286.7</v>
      </c>
      <c r="R110" s="42">
        <v>278.99</v>
      </c>
      <c r="S110" s="42">
        <v>284.48</v>
      </c>
      <c r="T110" s="42">
        <v>5.49</v>
      </c>
      <c r="U110" s="42">
        <v>-2.57</v>
      </c>
      <c r="V110" s="40" t="s">
        <v>265</v>
      </c>
      <c r="AF110" s="43">
        <v>45749</v>
      </c>
      <c r="AG110" s="42">
        <v>286.7</v>
      </c>
      <c r="AH110" s="42">
        <v>278.99</v>
      </c>
      <c r="AI110" s="42">
        <v>284.48</v>
      </c>
      <c r="AJ110" s="42">
        <v>5.49</v>
      </c>
      <c r="AK110" s="42">
        <v>-2.57</v>
      </c>
      <c r="AL110" s="40" t="s">
        <v>265</v>
      </c>
    </row>
    <row r="111" spans="1:38" x14ac:dyDescent="0.35">
      <c r="A111" s="43">
        <v>45748</v>
      </c>
      <c r="B111" s="42">
        <v>289.25</v>
      </c>
      <c r="C111" s="42">
        <v>278.37</v>
      </c>
      <c r="D111" s="42">
        <v>284.07</v>
      </c>
      <c r="E111" s="42">
        <v>5.7</v>
      </c>
      <c r="F111" s="42">
        <v>-3</v>
      </c>
      <c r="G111" s="40" t="s">
        <v>265</v>
      </c>
      <c r="P111" s="43">
        <v>45748</v>
      </c>
      <c r="Q111" s="42">
        <v>289.25</v>
      </c>
      <c r="R111" s="42">
        <v>278.37</v>
      </c>
      <c r="S111" s="42">
        <v>284.07</v>
      </c>
      <c r="T111" s="42">
        <v>5.7</v>
      </c>
      <c r="U111" s="42">
        <v>-3</v>
      </c>
      <c r="V111" s="40" t="s">
        <v>265</v>
      </c>
      <c r="AF111" s="43">
        <v>45748</v>
      </c>
      <c r="AG111" s="42">
        <v>289.25</v>
      </c>
      <c r="AH111" s="42">
        <v>278.37</v>
      </c>
      <c r="AI111" s="42">
        <v>284.07</v>
      </c>
      <c r="AJ111" s="42">
        <v>5.7</v>
      </c>
      <c r="AK111" s="42">
        <v>-3</v>
      </c>
      <c r="AL111" s="40" t="s">
        <v>265</v>
      </c>
    </row>
    <row r="112" spans="1:38" x14ac:dyDescent="0.35">
      <c r="A112" s="43">
        <v>45744</v>
      </c>
      <c r="B112" s="42">
        <v>290.45</v>
      </c>
      <c r="C112" s="42">
        <v>277.5</v>
      </c>
      <c r="D112" s="42">
        <v>283.13</v>
      </c>
      <c r="E112" s="42">
        <v>5.63</v>
      </c>
      <c r="F112" s="42">
        <v>-3.47</v>
      </c>
      <c r="G112" s="40" t="s">
        <v>265</v>
      </c>
      <c r="P112" s="43">
        <v>45744</v>
      </c>
      <c r="Q112" s="42">
        <v>290.45</v>
      </c>
      <c r="R112" s="42">
        <v>277.5</v>
      </c>
      <c r="S112" s="42">
        <v>283.13</v>
      </c>
      <c r="T112" s="42">
        <v>5.63</v>
      </c>
      <c r="U112" s="42">
        <v>-3.47</v>
      </c>
      <c r="V112" s="40" t="s">
        <v>265</v>
      </c>
      <c r="AF112" s="43">
        <v>45744</v>
      </c>
      <c r="AG112" s="42">
        <v>290.45</v>
      </c>
      <c r="AH112" s="42">
        <v>277.5</v>
      </c>
      <c r="AI112" s="42">
        <v>283.13</v>
      </c>
      <c r="AJ112" s="42">
        <v>5.63</v>
      </c>
      <c r="AK112" s="42">
        <v>-3.47</v>
      </c>
      <c r="AL112" s="40" t="s">
        <v>265</v>
      </c>
    </row>
    <row r="113" spans="1:38" x14ac:dyDescent="0.35">
      <c r="A113" s="43">
        <v>45743</v>
      </c>
      <c r="B113" s="42">
        <v>294.89999999999998</v>
      </c>
      <c r="C113" s="42">
        <v>276.47000000000003</v>
      </c>
      <c r="D113" s="42">
        <v>281.8</v>
      </c>
      <c r="E113" s="42">
        <v>5.33</v>
      </c>
      <c r="F113" s="42">
        <v>-3.97</v>
      </c>
      <c r="G113" s="40" t="s">
        <v>265</v>
      </c>
      <c r="P113" s="43">
        <v>45743</v>
      </c>
      <c r="Q113" s="42">
        <v>294.89999999999998</v>
      </c>
      <c r="R113" s="42">
        <v>276.47000000000003</v>
      </c>
      <c r="S113" s="42">
        <v>281.8</v>
      </c>
      <c r="T113" s="42">
        <v>5.33</v>
      </c>
      <c r="U113" s="42">
        <v>-3.97</v>
      </c>
      <c r="V113" s="40" t="s">
        <v>265</v>
      </c>
      <c r="AF113" s="43">
        <v>45743</v>
      </c>
      <c r="AG113" s="42">
        <v>294.89999999999998</v>
      </c>
      <c r="AH113" s="42">
        <v>276.47000000000003</v>
      </c>
      <c r="AI113" s="42">
        <v>281.8</v>
      </c>
      <c r="AJ113" s="42">
        <v>5.33</v>
      </c>
      <c r="AK113" s="42">
        <v>-3.97</v>
      </c>
      <c r="AL113" s="40" t="s">
        <v>265</v>
      </c>
    </row>
    <row r="114" spans="1:38" x14ac:dyDescent="0.35">
      <c r="A114" s="43">
        <v>45742</v>
      </c>
      <c r="B114" s="42">
        <v>291.35000000000002</v>
      </c>
      <c r="C114" s="42">
        <v>274.99</v>
      </c>
      <c r="D114" s="42">
        <v>279.42</v>
      </c>
      <c r="E114" s="42">
        <v>4.42</v>
      </c>
      <c r="F114" s="42">
        <v>-4.47</v>
      </c>
      <c r="G114" s="40" t="s">
        <v>265</v>
      </c>
      <c r="P114" s="43">
        <v>45742</v>
      </c>
      <c r="Q114" s="42">
        <v>291.35000000000002</v>
      </c>
      <c r="R114" s="42">
        <v>274.99</v>
      </c>
      <c r="S114" s="42">
        <v>279.42</v>
      </c>
      <c r="T114" s="42">
        <v>4.42</v>
      </c>
      <c r="U114" s="42">
        <v>-4.47</v>
      </c>
      <c r="V114" s="40" t="s">
        <v>265</v>
      </c>
      <c r="AF114" s="43">
        <v>45742</v>
      </c>
      <c r="AG114" s="42">
        <v>291.35000000000002</v>
      </c>
      <c r="AH114" s="42">
        <v>274.99</v>
      </c>
      <c r="AI114" s="42">
        <v>279.42</v>
      </c>
      <c r="AJ114" s="42">
        <v>4.42</v>
      </c>
      <c r="AK114" s="42">
        <v>-4.47</v>
      </c>
      <c r="AL114" s="40" t="s">
        <v>265</v>
      </c>
    </row>
    <row r="115" spans="1:38" x14ac:dyDescent="0.35">
      <c r="A115" s="43">
        <v>45741</v>
      </c>
      <c r="B115" s="42">
        <v>291.14999999999998</v>
      </c>
      <c r="C115" s="42">
        <v>273.69</v>
      </c>
      <c r="D115" s="42">
        <v>277.25</v>
      </c>
      <c r="E115" s="42">
        <v>3.56</v>
      </c>
      <c r="F115" s="42">
        <v>-4.95</v>
      </c>
      <c r="G115" s="40" t="s">
        <v>265</v>
      </c>
      <c r="P115" s="43">
        <v>45741</v>
      </c>
      <c r="Q115" s="42">
        <v>291.14999999999998</v>
      </c>
      <c r="R115" s="42">
        <v>273.69</v>
      </c>
      <c r="S115" s="42">
        <v>277.25</v>
      </c>
      <c r="T115" s="42">
        <v>3.56</v>
      </c>
      <c r="U115" s="42">
        <v>-4.95</v>
      </c>
      <c r="V115" s="40" t="s">
        <v>265</v>
      </c>
      <c r="AF115" s="43">
        <v>45741</v>
      </c>
      <c r="AG115" s="42">
        <v>291.14999999999998</v>
      </c>
      <c r="AH115" s="42">
        <v>273.69</v>
      </c>
      <c r="AI115" s="42">
        <v>277.25</v>
      </c>
      <c r="AJ115" s="42">
        <v>3.56</v>
      </c>
      <c r="AK115" s="42">
        <v>-4.95</v>
      </c>
      <c r="AL115" s="40" t="s">
        <v>265</v>
      </c>
    </row>
    <row r="116" spans="1:38" x14ac:dyDescent="0.35">
      <c r="A116" s="43">
        <v>45740</v>
      </c>
      <c r="B116" s="42">
        <v>291.89999999999998</v>
      </c>
      <c r="C116" s="42">
        <v>272.29000000000002</v>
      </c>
      <c r="D116" s="42">
        <v>274.72000000000003</v>
      </c>
      <c r="E116" s="42">
        <v>2.4300000000000002</v>
      </c>
      <c r="F116" s="42">
        <v>-5.41</v>
      </c>
      <c r="G116" s="40" t="s">
        <v>265</v>
      </c>
      <c r="P116" s="43">
        <v>45740</v>
      </c>
      <c r="Q116" s="42">
        <v>291.89999999999998</v>
      </c>
      <c r="R116" s="42">
        <v>272.29000000000002</v>
      </c>
      <c r="S116" s="42">
        <v>274.72000000000003</v>
      </c>
      <c r="T116" s="42">
        <v>2.4300000000000002</v>
      </c>
      <c r="U116" s="42">
        <v>-5.41</v>
      </c>
      <c r="V116" s="40" t="s">
        <v>265</v>
      </c>
      <c r="AF116" s="43">
        <v>45740</v>
      </c>
      <c r="AG116" s="42">
        <v>291.89999999999998</v>
      </c>
      <c r="AH116" s="42">
        <v>272.29000000000002</v>
      </c>
      <c r="AI116" s="42">
        <v>274.72000000000003</v>
      </c>
      <c r="AJ116" s="42">
        <v>2.4300000000000002</v>
      </c>
      <c r="AK116" s="42">
        <v>-5.41</v>
      </c>
      <c r="AL116" s="40" t="s">
        <v>265</v>
      </c>
    </row>
    <row r="117" spans="1:38" x14ac:dyDescent="0.35">
      <c r="A117" s="43">
        <v>45737</v>
      </c>
      <c r="B117" s="42">
        <v>283</v>
      </c>
      <c r="C117" s="42">
        <v>270.72000000000003</v>
      </c>
      <c r="D117" s="42">
        <v>271.60000000000002</v>
      </c>
      <c r="E117" s="42">
        <v>0.88</v>
      </c>
      <c r="F117" s="42">
        <v>-5.83</v>
      </c>
      <c r="G117" s="40" t="s">
        <v>265</v>
      </c>
      <c r="P117" s="43">
        <v>45737</v>
      </c>
      <c r="Q117" s="42">
        <v>283</v>
      </c>
      <c r="R117" s="42">
        <v>270.72000000000003</v>
      </c>
      <c r="S117" s="42">
        <v>271.60000000000002</v>
      </c>
      <c r="T117" s="42">
        <v>0.88</v>
      </c>
      <c r="U117" s="42">
        <v>-5.83</v>
      </c>
      <c r="V117" s="40" t="s">
        <v>265</v>
      </c>
      <c r="AF117" s="43">
        <v>45737</v>
      </c>
      <c r="AG117" s="42">
        <v>283</v>
      </c>
      <c r="AH117" s="42">
        <v>270.72000000000003</v>
      </c>
      <c r="AI117" s="42">
        <v>271.60000000000002</v>
      </c>
      <c r="AJ117" s="42">
        <v>0.88</v>
      </c>
      <c r="AK117" s="42">
        <v>-5.83</v>
      </c>
      <c r="AL117" s="40" t="s">
        <v>265</v>
      </c>
    </row>
    <row r="118" spans="1:38" x14ac:dyDescent="0.35">
      <c r="A118" s="43">
        <v>45736</v>
      </c>
      <c r="B118" s="42">
        <v>279.95</v>
      </c>
      <c r="C118" s="42">
        <v>269.74</v>
      </c>
      <c r="D118" s="42">
        <v>269.52999999999997</v>
      </c>
      <c r="E118" s="42">
        <v>-0.21</v>
      </c>
      <c r="F118" s="42">
        <v>-6.2</v>
      </c>
      <c r="G118" s="40" t="s">
        <v>265</v>
      </c>
      <c r="P118" s="43">
        <v>45736</v>
      </c>
      <c r="Q118" s="42">
        <v>279.95</v>
      </c>
      <c r="R118" s="42">
        <v>269.74</v>
      </c>
      <c r="S118" s="42">
        <v>269.52999999999997</v>
      </c>
      <c r="T118" s="42">
        <v>-0.21</v>
      </c>
      <c r="U118" s="42">
        <v>-6.2</v>
      </c>
      <c r="V118" s="40" t="s">
        <v>265</v>
      </c>
      <c r="AF118" s="43">
        <v>45736</v>
      </c>
      <c r="AG118" s="42">
        <v>279.95</v>
      </c>
      <c r="AH118" s="42">
        <v>269.74</v>
      </c>
      <c r="AI118" s="42">
        <v>269.52999999999997</v>
      </c>
      <c r="AJ118" s="42">
        <v>-0.21</v>
      </c>
      <c r="AK118" s="42">
        <v>-6.2</v>
      </c>
      <c r="AL118" s="40" t="s">
        <v>265</v>
      </c>
    </row>
    <row r="119" spans="1:38" x14ac:dyDescent="0.35">
      <c r="A119" s="43">
        <v>45735</v>
      </c>
      <c r="B119" s="42">
        <v>276.95</v>
      </c>
      <c r="C119" s="42">
        <v>268.92</v>
      </c>
      <c r="D119" s="42">
        <v>267.63</v>
      </c>
      <c r="E119" s="42">
        <v>-1.29</v>
      </c>
      <c r="F119" s="42">
        <v>-6.52</v>
      </c>
      <c r="G119" s="40" t="s">
        <v>265</v>
      </c>
      <c r="P119" s="43">
        <v>45735</v>
      </c>
      <c r="Q119" s="42">
        <v>276.95</v>
      </c>
      <c r="R119" s="42">
        <v>268.92</v>
      </c>
      <c r="S119" s="42">
        <v>267.63</v>
      </c>
      <c r="T119" s="42">
        <v>-1.29</v>
      </c>
      <c r="U119" s="42">
        <v>-6.52</v>
      </c>
      <c r="V119" s="40" t="s">
        <v>265</v>
      </c>
      <c r="AF119" s="43">
        <v>45735</v>
      </c>
      <c r="AG119" s="42">
        <v>276.95</v>
      </c>
      <c r="AH119" s="42">
        <v>268.92</v>
      </c>
      <c r="AI119" s="42">
        <v>267.63</v>
      </c>
      <c r="AJ119" s="42">
        <v>-1.29</v>
      </c>
      <c r="AK119" s="42">
        <v>-6.52</v>
      </c>
      <c r="AL119" s="40" t="s">
        <v>265</v>
      </c>
    </row>
    <row r="120" spans="1:38" x14ac:dyDescent="0.35">
      <c r="A120" s="43">
        <v>45734</v>
      </c>
      <c r="B120" s="42">
        <v>270.8</v>
      </c>
      <c r="C120" s="42">
        <v>268.27999999999997</v>
      </c>
      <c r="D120" s="42">
        <v>265.94</v>
      </c>
      <c r="E120" s="42">
        <v>-2.34</v>
      </c>
      <c r="F120" s="42">
        <v>-6.8</v>
      </c>
      <c r="G120" s="40" t="s">
        <v>265</v>
      </c>
      <c r="P120" s="43">
        <v>45734</v>
      </c>
      <c r="Q120" s="42">
        <v>270.8</v>
      </c>
      <c r="R120" s="42">
        <v>268.27999999999997</v>
      </c>
      <c r="S120" s="42">
        <v>265.94</v>
      </c>
      <c r="T120" s="42">
        <v>-2.34</v>
      </c>
      <c r="U120" s="42">
        <v>-6.8</v>
      </c>
      <c r="V120" s="40" t="s">
        <v>265</v>
      </c>
      <c r="AF120" s="43">
        <v>45734</v>
      </c>
      <c r="AG120" s="42">
        <v>270.8</v>
      </c>
      <c r="AH120" s="42">
        <v>268.27999999999997</v>
      </c>
      <c r="AI120" s="42">
        <v>265.94</v>
      </c>
      <c r="AJ120" s="42">
        <v>-2.34</v>
      </c>
      <c r="AK120" s="42">
        <v>-6.8</v>
      </c>
      <c r="AL120" s="40" t="s">
        <v>265</v>
      </c>
    </row>
    <row r="121" spans="1:38" x14ac:dyDescent="0.35">
      <c r="A121" s="43">
        <v>45733</v>
      </c>
      <c r="B121" s="42">
        <v>267.3</v>
      </c>
      <c r="C121" s="42">
        <v>268.08</v>
      </c>
      <c r="D121" s="42">
        <v>265.05</v>
      </c>
      <c r="E121" s="42">
        <v>-3.02</v>
      </c>
      <c r="F121" s="42">
        <v>-7.04</v>
      </c>
      <c r="G121" s="40" t="s">
        <v>265</v>
      </c>
      <c r="P121" s="43">
        <v>45733</v>
      </c>
      <c r="Q121" s="42">
        <v>267.3</v>
      </c>
      <c r="R121" s="42">
        <v>268.08</v>
      </c>
      <c r="S121" s="42">
        <v>265.05</v>
      </c>
      <c r="T121" s="42">
        <v>-3.02</v>
      </c>
      <c r="U121" s="42">
        <v>-7.04</v>
      </c>
      <c r="V121" s="40" t="s">
        <v>265</v>
      </c>
      <c r="AF121" s="43">
        <v>45733</v>
      </c>
      <c r="AG121" s="42">
        <v>267.3</v>
      </c>
      <c r="AH121" s="42">
        <v>268.08</v>
      </c>
      <c r="AI121" s="42">
        <v>265.05</v>
      </c>
      <c r="AJ121" s="42">
        <v>-3.02</v>
      </c>
      <c r="AK121" s="42">
        <v>-7.04</v>
      </c>
      <c r="AL121" s="40" t="s">
        <v>265</v>
      </c>
    </row>
    <row r="122" spans="1:38" x14ac:dyDescent="0.35">
      <c r="A122" s="43">
        <v>45729</v>
      </c>
      <c r="B122" s="42">
        <v>267.60000000000002</v>
      </c>
      <c r="C122" s="42">
        <v>268.14</v>
      </c>
      <c r="D122" s="42">
        <v>264.64</v>
      </c>
      <c r="E122" s="42">
        <v>-3.49</v>
      </c>
      <c r="F122" s="42">
        <v>-7.26</v>
      </c>
      <c r="G122" s="40" t="s">
        <v>265</v>
      </c>
      <c r="P122" s="43">
        <v>45729</v>
      </c>
      <c r="Q122" s="42">
        <v>267.60000000000002</v>
      </c>
      <c r="R122" s="42">
        <v>268.14</v>
      </c>
      <c r="S122" s="42">
        <v>264.64</v>
      </c>
      <c r="T122" s="42">
        <v>-3.49</v>
      </c>
      <c r="U122" s="42">
        <v>-7.26</v>
      </c>
      <c r="V122" s="40" t="s">
        <v>265</v>
      </c>
      <c r="AF122" s="43">
        <v>45729</v>
      </c>
      <c r="AG122" s="42">
        <v>267.60000000000002</v>
      </c>
      <c r="AH122" s="42">
        <v>268.14</v>
      </c>
      <c r="AI122" s="42">
        <v>264.64</v>
      </c>
      <c r="AJ122" s="42">
        <v>-3.49</v>
      </c>
      <c r="AK122" s="42">
        <v>-7.26</v>
      </c>
      <c r="AL122" s="40" t="s">
        <v>265</v>
      </c>
    </row>
    <row r="123" spans="1:38" x14ac:dyDescent="0.35">
      <c r="A123" s="43">
        <v>45728</v>
      </c>
      <c r="B123" s="42">
        <v>267.10000000000002</v>
      </c>
      <c r="C123" s="42">
        <v>268.18</v>
      </c>
      <c r="D123" s="42">
        <v>264.10000000000002</v>
      </c>
      <c r="E123" s="42">
        <v>-4.08</v>
      </c>
      <c r="F123" s="42">
        <v>-7.46</v>
      </c>
      <c r="G123" s="40" t="s">
        <v>265</v>
      </c>
      <c r="P123" s="43">
        <v>45728</v>
      </c>
      <c r="Q123" s="42">
        <v>267.10000000000002</v>
      </c>
      <c r="R123" s="42">
        <v>268.18</v>
      </c>
      <c r="S123" s="42">
        <v>264.10000000000002</v>
      </c>
      <c r="T123" s="42">
        <v>-4.08</v>
      </c>
      <c r="U123" s="42">
        <v>-7.46</v>
      </c>
      <c r="V123" s="40" t="s">
        <v>265</v>
      </c>
      <c r="AF123" s="43">
        <v>45728</v>
      </c>
      <c r="AG123" s="42">
        <v>267.10000000000002</v>
      </c>
      <c r="AH123" s="42">
        <v>268.18</v>
      </c>
      <c r="AI123" s="42">
        <v>264.10000000000002</v>
      </c>
      <c r="AJ123" s="42">
        <v>-4.08</v>
      </c>
      <c r="AK123" s="42">
        <v>-7.46</v>
      </c>
      <c r="AL123" s="40" t="s">
        <v>265</v>
      </c>
    </row>
    <row r="124" spans="1:38" x14ac:dyDescent="0.35">
      <c r="A124" s="43">
        <v>45727</v>
      </c>
      <c r="B124" s="42">
        <v>267.35000000000002</v>
      </c>
      <c r="C124" s="42">
        <v>268.27</v>
      </c>
      <c r="D124" s="42">
        <v>263.56</v>
      </c>
      <c r="E124" s="42">
        <v>-4.71</v>
      </c>
      <c r="F124" s="42">
        <v>-7.65</v>
      </c>
      <c r="G124" s="40" t="s">
        <v>265</v>
      </c>
      <c r="P124" s="43">
        <v>45727</v>
      </c>
      <c r="Q124" s="42">
        <v>267.35000000000002</v>
      </c>
      <c r="R124" s="42">
        <v>268.27</v>
      </c>
      <c r="S124" s="42">
        <v>263.56</v>
      </c>
      <c r="T124" s="42">
        <v>-4.71</v>
      </c>
      <c r="U124" s="42">
        <v>-7.65</v>
      </c>
      <c r="V124" s="40" t="s">
        <v>265</v>
      </c>
      <c r="AF124" s="43">
        <v>45727</v>
      </c>
      <c r="AG124" s="42">
        <v>267.35000000000002</v>
      </c>
      <c r="AH124" s="42">
        <v>268.27</v>
      </c>
      <c r="AI124" s="42">
        <v>263.56</v>
      </c>
      <c r="AJ124" s="42">
        <v>-4.71</v>
      </c>
      <c r="AK124" s="42">
        <v>-7.65</v>
      </c>
      <c r="AL124" s="40" t="s">
        <v>265</v>
      </c>
    </row>
    <row r="125" spans="1:38" x14ac:dyDescent="0.35">
      <c r="A125" s="43">
        <v>45726</v>
      </c>
      <c r="B125" s="42">
        <v>271.39999999999998</v>
      </c>
      <c r="C125" s="42">
        <v>268.33999999999997</v>
      </c>
      <c r="D125" s="42">
        <v>262.87</v>
      </c>
      <c r="E125" s="42">
        <v>-5.47</v>
      </c>
      <c r="F125" s="42">
        <v>-7.81</v>
      </c>
      <c r="G125" s="40" t="s">
        <v>265</v>
      </c>
      <c r="P125" s="43">
        <v>45726</v>
      </c>
      <c r="Q125" s="42">
        <v>271.39999999999998</v>
      </c>
      <c r="R125" s="42">
        <v>268.33999999999997</v>
      </c>
      <c r="S125" s="42">
        <v>262.87</v>
      </c>
      <c r="T125" s="42">
        <v>-5.47</v>
      </c>
      <c r="U125" s="42">
        <v>-7.81</v>
      </c>
      <c r="V125" s="40" t="s">
        <v>265</v>
      </c>
      <c r="AF125" s="43">
        <v>45726</v>
      </c>
      <c r="AG125" s="42">
        <v>271.39999999999998</v>
      </c>
      <c r="AH125" s="42">
        <v>268.33999999999997</v>
      </c>
      <c r="AI125" s="42">
        <v>262.87</v>
      </c>
      <c r="AJ125" s="42">
        <v>-5.47</v>
      </c>
      <c r="AK125" s="42">
        <v>-7.81</v>
      </c>
      <c r="AL125" s="40" t="s">
        <v>265</v>
      </c>
    </row>
    <row r="126" spans="1:38" x14ac:dyDescent="0.35">
      <c r="A126" s="43">
        <v>45723</v>
      </c>
      <c r="B126" s="42">
        <v>263.2</v>
      </c>
      <c r="C126" s="42">
        <v>268.08999999999997</v>
      </c>
      <c r="D126" s="42">
        <v>261.32</v>
      </c>
      <c r="E126" s="42">
        <v>-6.78</v>
      </c>
      <c r="F126" s="42">
        <v>-7.93</v>
      </c>
      <c r="G126" s="40" t="s">
        <v>265</v>
      </c>
      <c r="P126" s="43">
        <v>45723</v>
      </c>
      <c r="Q126" s="42">
        <v>263.2</v>
      </c>
      <c r="R126" s="42">
        <v>268.08999999999997</v>
      </c>
      <c r="S126" s="42">
        <v>261.32</v>
      </c>
      <c r="T126" s="42">
        <v>-6.78</v>
      </c>
      <c r="U126" s="42">
        <v>-7.93</v>
      </c>
      <c r="V126" s="40" t="s">
        <v>265</v>
      </c>
      <c r="AF126" s="43">
        <v>45723</v>
      </c>
      <c r="AG126" s="42">
        <v>263.2</v>
      </c>
      <c r="AH126" s="42">
        <v>268.08999999999997</v>
      </c>
      <c r="AI126" s="42">
        <v>261.32</v>
      </c>
      <c r="AJ126" s="42">
        <v>-6.78</v>
      </c>
      <c r="AK126" s="42">
        <v>-7.93</v>
      </c>
      <c r="AL126" s="40" t="s">
        <v>265</v>
      </c>
    </row>
    <row r="127" spans="1:38" x14ac:dyDescent="0.35">
      <c r="A127" s="43">
        <v>45722</v>
      </c>
      <c r="B127" s="42">
        <v>266.45</v>
      </c>
      <c r="C127" s="42">
        <v>268.49</v>
      </c>
      <c r="D127" s="42">
        <v>260.98</v>
      </c>
      <c r="E127" s="42">
        <v>-7.51</v>
      </c>
      <c r="F127" s="42">
        <v>-8</v>
      </c>
      <c r="G127" s="40" t="s">
        <v>265</v>
      </c>
      <c r="P127" s="43">
        <v>45722</v>
      </c>
      <c r="Q127" s="42">
        <v>266.45</v>
      </c>
      <c r="R127" s="42">
        <v>268.49</v>
      </c>
      <c r="S127" s="42">
        <v>260.98</v>
      </c>
      <c r="T127" s="42">
        <v>-7.51</v>
      </c>
      <c r="U127" s="42">
        <v>-8</v>
      </c>
      <c r="V127" s="40" t="s">
        <v>265</v>
      </c>
      <c r="AF127" s="43">
        <v>45722</v>
      </c>
      <c r="AG127" s="42">
        <v>266.45</v>
      </c>
      <c r="AH127" s="42">
        <v>268.49</v>
      </c>
      <c r="AI127" s="42">
        <v>260.98</v>
      </c>
      <c r="AJ127" s="42">
        <v>-7.51</v>
      </c>
      <c r="AK127" s="42">
        <v>-8</v>
      </c>
      <c r="AL127" s="40" t="s">
        <v>265</v>
      </c>
    </row>
    <row r="128" spans="1:38" x14ac:dyDescent="0.35">
      <c r="A128" s="43">
        <v>45721</v>
      </c>
      <c r="B128" s="42">
        <v>264.89999999999998</v>
      </c>
      <c r="C128" s="42">
        <v>268.64999999999998</v>
      </c>
      <c r="D128" s="42">
        <v>259.98</v>
      </c>
      <c r="E128" s="42">
        <v>-8.67</v>
      </c>
      <c r="F128" s="42">
        <v>-8.02</v>
      </c>
      <c r="G128" s="40" t="s">
        <v>267</v>
      </c>
      <c r="P128" s="43">
        <v>45721</v>
      </c>
      <c r="Q128" s="42">
        <v>264.89999999999998</v>
      </c>
      <c r="R128" s="42">
        <v>268.64999999999998</v>
      </c>
      <c r="S128" s="42">
        <v>259.98</v>
      </c>
      <c r="T128" s="42">
        <v>-8.67</v>
      </c>
      <c r="U128" s="42">
        <v>-8.02</v>
      </c>
      <c r="V128" s="40" t="s">
        <v>267</v>
      </c>
      <c r="AF128" s="43">
        <v>45721</v>
      </c>
      <c r="AG128" s="42">
        <v>264.89999999999998</v>
      </c>
      <c r="AH128" s="42">
        <v>268.64999999999998</v>
      </c>
      <c r="AI128" s="42">
        <v>259.98</v>
      </c>
      <c r="AJ128" s="42">
        <v>-8.67</v>
      </c>
      <c r="AK128" s="42">
        <v>-8.02</v>
      </c>
      <c r="AL128" s="40" t="s">
        <v>267</v>
      </c>
    </row>
    <row r="129" spans="1:38" x14ac:dyDescent="0.35">
      <c r="A129" s="43">
        <v>45720</v>
      </c>
      <c r="B129" s="42">
        <v>254.05</v>
      </c>
      <c r="C129" s="42">
        <v>268.95</v>
      </c>
      <c r="D129" s="42">
        <v>259.08999999999997</v>
      </c>
      <c r="E129" s="42">
        <v>-9.86</v>
      </c>
      <c r="F129" s="42">
        <v>-7.99</v>
      </c>
      <c r="G129" s="40" t="s">
        <v>267</v>
      </c>
      <c r="P129" s="43">
        <v>45720</v>
      </c>
      <c r="Q129" s="42">
        <v>254.05</v>
      </c>
      <c r="R129" s="42">
        <v>268.95</v>
      </c>
      <c r="S129" s="42">
        <v>259.08999999999997</v>
      </c>
      <c r="T129" s="42">
        <v>-9.86</v>
      </c>
      <c r="U129" s="42">
        <v>-7.99</v>
      </c>
      <c r="V129" s="40" t="s">
        <v>267</v>
      </c>
      <c r="AF129" s="43">
        <v>45720</v>
      </c>
      <c r="AG129" s="42">
        <v>254.05</v>
      </c>
      <c r="AH129" s="42">
        <v>268.95</v>
      </c>
      <c r="AI129" s="42">
        <v>259.08999999999997</v>
      </c>
      <c r="AJ129" s="42">
        <v>-9.86</v>
      </c>
      <c r="AK129" s="42">
        <v>-7.99</v>
      </c>
      <c r="AL129" s="40" t="s">
        <v>267</v>
      </c>
    </row>
    <row r="130" spans="1:38" x14ac:dyDescent="0.35">
      <c r="A130" s="43">
        <v>45719</v>
      </c>
      <c r="B130" s="42">
        <v>252.55</v>
      </c>
      <c r="C130" s="42">
        <v>270.14</v>
      </c>
      <c r="D130" s="42">
        <v>260</v>
      </c>
      <c r="E130" s="42">
        <v>-10.14</v>
      </c>
      <c r="F130" s="42">
        <v>-7.89</v>
      </c>
      <c r="G130" s="40" t="s">
        <v>267</v>
      </c>
      <c r="P130" s="43">
        <v>45719</v>
      </c>
      <c r="Q130" s="42">
        <v>252.55</v>
      </c>
      <c r="R130" s="42">
        <v>270.14</v>
      </c>
      <c r="S130" s="42">
        <v>260</v>
      </c>
      <c r="T130" s="42">
        <v>-10.14</v>
      </c>
      <c r="U130" s="42">
        <v>-7.89</v>
      </c>
      <c r="V130" s="40" t="s">
        <v>267</v>
      </c>
      <c r="AF130" s="43">
        <v>45719</v>
      </c>
      <c r="AG130" s="42">
        <v>252.55</v>
      </c>
      <c r="AH130" s="42">
        <v>270.14</v>
      </c>
      <c r="AI130" s="42">
        <v>260</v>
      </c>
      <c r="AJ130" s="42">
        <v>-10.14</v>
      </c>
      <c r="AK130" s="42">
        <v>-7.89</v>
      </c>
      <c r="AL130" s="40" t="s">
        <v>267</v>
      </c>
    </row>
    <row r="131" spans="1:38" x14ac:dyDescent="0.35">
      <c r="A131" s="43">
        <v>45716</v>
      </c>
      <c r="B131" s="42">
        <v>250.65</v>
      </c>
      <c r="C131" s="42">
        <v>271.55</v>
      </c>
      <c r="D131" s="42">
        <v>261.36</v>
      </c>
      <c r="E131" s="42">
        <v>-10.19</v>
      </c>
      <c r="F131" s="42">
        <v>-7.76</v>
      </c>
      <c r="G131" s="40" t="s">
        <v>267</v>
      </c>
      <c r="P131" s="43">
        <v>45716</v>
      </c>
      <c r="Q131" s="42">
        <v>250.65</v>
      </c>
      <c r="R131" s="42">
        <v>271.55</v>
      </c>
      <c r="S131" s="42">
        <v>261.36</v>
      </c>
      <c r="T131" s="42">
        <v>-10.19</v>
      </c>
      <c r="U131" s="42">
        <v>-7.76</v>
      </c>
      <c r="V131" s="40" t="s">
        <v>267</v>
      </c>
      <c r="AF131" s="43">
        <v>45716</v>
      </c>
      <c r="AG131" s="42">
        <v>250.65</v>
      </c>
      <c r="AH131" s="42">
        <v>271.55</v>
      </c>
      <c r="AI131" s="42">
        <v>261.36</v>
      </c>
      <c r="AJ131" s="42">
        <v>-10.19</v>
      </c>
      <c r="AK131" s="42">
        <v>-7.76</v>
      </c>
      <c r="AL131" s="40" t="s">
        <v>267</v>
      </c>
    </row>
    <row r="132" spans="1:38" x14ac:dyDescent="0.35">
      <c r="A132" s="43">
        <v>45715</v>
      </c>
      <c r="B132" s="42">
        <v>256.14999999999998</v>
      </c>
      <c r="C132" s="42">
        <v>273.22000000000003</v>
      </c>
      <c r="D132" s="42">
        <v>263.31</v>
      </c>
      <c r="E132" s="42">
        <v>-9.91</v>
      </c>
      <c r="F132" s="42">
        <v>-7.63</v>
      </c>
      <c r="G132" s="40" t="s">
        <v>267</v>
      </c>
      <c r="P132" s="43">
        <v>45715</v>
      </c>
      <c r="Q132" s="42">
        <v>256.14999999999998</v>
      </c>
      <c r="R132" s="42">
        <v>273.22000000000003</v>
      </c>
      <c r="S132" s="42">
        <v>263.31</v>
      </c>
      <c r="T132" s="42">
        <v>-9.91</v>
      </c>
      <c r="U132" s="42">
        <v>-7.63</v>
      </c>
      <c r="V132" s="40" t="s">
        <v>267</v>
      </c>
      <c r="AF132" s="43">
        <v>45715</v>
      </c>
      <c r="AG132" s="42">
        <v>256.14999999999998</v>
      </c>
      <c r="AH132" s="42">
        <v>273.22000000000003</v>
      </c>
      <c r="AI132" s="42">
        <v>263.31</v>
      </c>
      <c r="AJ132" s="42">
        <v>-9.91</v>
      </c>
      <c r="AK132" s="42">
        <v>-7.63</v>
      </c>
      <c r="AL132" s="40" t="s">
        <v>267</v>
      </c>
    </row>
    <row r="133" spans="1:38" x14ac:dyDescent="0.35">
      <c r="A133" s="43">
        <v>45713</v>
      </c>
      <c r="B133" s="42">
        <v>255.9</v>
      </c>
      <c r="C133" s="42">
        <v>274.58999999999997</v>
      </c>
      <c r="D133" s="42">
        <v>264.61</v>
      </c>
      <c r="E133" s="42">
        <v>-9.98</v>
      </c>
      <c r="F133" s="42">
        <v>-7.51</v>
      </c>
      <c r="G133" s="40" t="s">
        <v>267</v>
      </c>
      <c r="P133" s="43">
        <v>45713</v>
      </c>
      <c r="Q133" s="42">
        <v>255.9</v>
      </c>
      <c r="R133" s="42">
        <v>274.58999999999997</v>
      </c>
      <c r="S133" s="42">
        <v>264.61</v>
      </c>
      <c r="T133" s="42">
        <v>-9.98</v>
      </c>
      <c r="U133" s="42">
        <v>-7.51</v>
      </c>
      <c r="V133" s="40" t="s">
        <v>267</v>
      </c>
      <c r="AF133" s="43">
        <v>45713</v>
      </c>
      <c r="AG133" s="42">
        <v>255.9</v>
      </c>
      <c r="AH133" s="42">
        <v>274.58999999999997</v>
      </c>
      <c r="AI133" s="42">
        <v>264.61</v>
      </c>
      <c r="AJ133" s="42">
        <v>-9.98</v>
      </c>
      <c r="AK133" s="42">
        <v>-7.51</v>
      </c>
      <c r="AL133" s="40" t="s">
        <v>267</v>
      </c>
    </row>
    <row r="134" spans="1:38" x14ac:dyDescent="0.35">
      <c r="A134" s="43">
        <v>45712</v>
      </c>
      <c r="B134" s="42">
        <v>259.14999999999998</v>
      </c>
      <c r="C134" s="42">
        <v>276.08</v>
      </c>
      <c r="D134" s="42">
        <v>266.19</v>
      </c>
      <c r="E134" s="42">
        <v>-9.89</v>
      </c>
      <c r="F134" s="42">
        <v>-7.38</v>
      </c>
      <c r="G134" s="40" t="s">
        <v>267</v>
      </c>
      <c r="P134" s="43">
        <v>45712</v>
      </c>
      <c r="Q134" s="42">
        <v>259.14999999999998</v>
      </c>
      <c r="R134" s="42">
        <v>276.08</v>
      </c>
      <c r="S134" s="42">
        <v>266.19</v>
      </c>
      <c r="T134" s="42">
        <v>-9.89</v>
      </c>
      <c r="U134" s="42">
        <v>-7.38</v>
      </c>
      <c r="V134" s="40" t="s">
        <v>267</v>
      </c>
      <c r="AF134" s="43">
        <v>45712</v>
      </c>
      <c r="AG134" s="42">
        <v>259.14999999999998</v>
      </c>
      <c r="AH134" s="42">
        <v>276.08</v>
      </c>
      <c r="AI134" s="42">
        <v>266.19</v>
      </c>
      <c r="AJ134" s="42">
        <v>-9.89</v>
      </c>
      <c r="AK134" s="42">
        <v>-7.38</v>
      </c>
      <c r="AL134" s="40" t="s">
        <v>267</v>
      </c>
    </row>
    <row r="135" spans="1:38" x14ac:dyDescent="0.35">
      <c r="A135" s="43">
        <v>45709</v>
      </c>
      <c r="B135" s="42">
        <v>261.75</v>
      </c>
      <c r="C135" s="42">
        <v>277.44</v>
      </c>
      <c r="D135" s="42">
        <v>267.47000000000003</v>
      </c>
      <c r="E135" s="42">
        <v>-9.9600000000000009</v>
      </c>
      <c r="F135" s="42">
        <v>-7.24</v>
      </c>
      <c r="G135" s="40" t="s">
        <v>267</v>
      </c>
      <c r="P135" s="43">
        <v>45709</v>
      </c>
      <c r="Q135" s="42">
        <v>261.75</v>
      </c>
      <c r="R135" s="42">
        <v>277.44</v>
      </c>
      <c r="S135" s="42">
        <v>267.47000000000003</v>
      </c>
      <c r="T135" s="42">
        <v>-9.9600000000000009</v>
      </c>
      <c r="U135" s="42">
        <v>-7.24</v>
      </c>
      <c r="V135" s="40" t="s">
        <v>267</v>
      </c>
      <c r="AF135" s="43">
        <v>45709</v>
      </c>
      <c r="AG135" s="42">
        <v>261.75</v>
      </c>
      <c r="AH135" s="42">
        <v>277.44</v>
      </c>
      <c r="AI135" s="42">
        <v>267.47000000000003</v>
      </c>
      <c r="AJ135" s="42">
        <v>-9.9600000000000009</v>
      </c>
      <c r="AK135" s="42">
        <v>-7.24</v>
      </c>
      <c r="AL135" s="40" t="s">
        <v>267</v>
      </c>
    </row>
    <row r="136" spans="1:38" x14ac:dyDescent="0.35">
      <c r="A136" s="43">
        <v>45708</v>
      </c>
      <c r="B136" s="42">
        <v>265.8</v>
      </c>
      <c r="C136" s="42">
        <v>278.69</v>
      </c>
      <c r="D136" s="42">
        <v>268.51</v>
      </c>
      <c r="E136" s="42">
        <v>-10.18</v>
      </c>
      <c r="F136" s="42">
        <v>-7.09</v>
      </c>
      <c r="G136" s="40" t="s">
        <v>267</v>
      </c>
      <c r="P136" s="43">
        <v>45708</v>
      </c>
      <c r="Q136" s="42">
        <v>265.8</v>
      </c>
      <c r="R136" s="42">
        <v>278.69</v>
      </c>
      <c r="S136" s="42">
        <v>268.51</v>
      </c>
      <c r="T136" s="42">
        <v>-10.18</v>
      </c>
      <c r="U136" s="42">
        <v>-7.09</v>
      </c>
      <c r="V136" s="40" t="s">
        <v>267</v>
      </c>
      <c r="AF136" s="43">
        <v>45708</v>
      </c>
      <c r="AG136" s="42">
        <v>265.8</v>
      </c>
      <c r="AH136" s="42">
        <v>278.69</v>
      </c>
      <c r="AI136" s="42">
        <v>268.51</v>
      </c>
      <c r="AJ136" s="42">
        <v>-10.18</v>
      </c>
      <c r="AK136" s="42">
        <v>-7.09</v>
      </c>
      <c r="AL136" s="40" t="s">
        <v>267</v>
      </c>
    </row>
    <row r="137" spans="1:38" x14ac:dyDescent="0.35">
      <c r="A137" s="43">
        <v>45707</v>
      </c>
      <c r="B137" s="42">
        <v>263.14999999999998</v>
      </c>
      <c r="C137" s="42">
        <v>279.72000000000003</v>
      </c>
      <c r="D137" s="42">
        <v>269.01</v>
      </c>
      <c r="E137" s="42">
        <v>-10.71</v>
      </c>
      <c r="F137" s="42">
        <v>-6.93</v>
      </c>
      <c r="G137" s="40" t="s">
        <v>267</v>
      </c>
      <c r="P137" s="43">
        <v>45707</v>
      </c>
      <c r="Q137" s="42">
        <v>263.14999999999998</v>
      </c>
      <c r="R137" s="42">
        <v>279.72000000000003</v>
      </c>
      <c r="S137" s="42">
        <v>269.01</v>
      </c>
      <c r="T137" s="42">
        <v>-10.71</v>
      </c>
      <c r="U137" s="42">
        <v>-6.93</v>
      </c>
      <c r="V137" s="40" t="s">
        <v>267</v>
      </c>
      <c r="AF137" s="43">
        <v>45707</v>
      </c>
      <c r="AG137" s="42">
        <v>263.14999999999998</v>
      </c>
      <c r="AH137" s="42">
        <v>279.72000000000003</v>
      </c>
      <c r="AI137" s="42">
        <v>269.01</v>
      </c>
      <c r="AJ137" s="42">
        <v>-10.71</v>
      </c>
      <c r="AK137" s="42">
        <v>-6.93</v>
      </c>
      <c r="AL137" s="40" t="s">
        <v>267</v>
      </c>
    </row>
    <row r="138" spans="1:38" x14ac:dyDescent="0.35">
      <c r="A138" s="43">
        <v>45706</v>
      </c>
      <c r="B138" s="42">
        <v>266.75</v>
      </c>
      <c r="C138" s="42">
        <v>281.05</v>
      </c>
      <c r="D138" s="42">
        <v>270.07</v>
      </c>
      <c r="E138" s="42">
        <v>-10.98</v>
      </c>
      <c r="F138" s="42">
        <v>-6.72</v>
      </c>
      <c r="G138" s="40" t="s">
        <v>267</v>
      </c>
      <c r="P138" s="43">
        <v>45706</v>
      </c>
      <c r="Q138" s="42">
        <v>266.75</v>
      </c>
      <c r="R138" s="42">
        <v>281.05</v>
      </c>
      <c r="S138" s="42">
        <v>270.07</v>
      </c>
      <c r="T138" s="42">
        <v>-10.98</v>
      </c>
      <c r="U138" s="42">
        <v>-6.72</v>
      </c>
      <c r="V138" s="40" t="s">
        <v>267</v>
      </c>
      <c r="AF138" s="43">
        <v>45706</v>
      </c>
      <c r="AG138" s="42">
        <v>266.75</v>
      </c>
      <c r="AH138" s="42">
        <v>281.05</v>
      </c>
      <c r="AI138" s="42">
        <v>270.07</v>
      </c>
      <c r="AJ138" s="42">
        <v>-10.98</v>
      </c>
      <c r="AK138" s="42">
        <v>-6.72</v>
      </c>
      <c r="AL138" s="40" t="s">
        <v>267</v>
      </c>
    </row>
    <row r="139" spans="1:38" x14ac:dyDescent="0.35">
      <c r="A139" s="43">
        <v>45705</v>
      </c>
      <c r="B139" s="42">
        <v>263.14999999999998</v>
      </c>
      <c r="C139" s="42">
        <v>282.19</v>
      </c>
      <c r="D139" s="42">
        <v>270.68</v>
      </c>
      <c r="E139" s="42">
        <v>-11.51</v>
      </c>
      <c r="F139" s="42">
        <v>-6.49</v>
      </c>
      <c r="G139" s="40" t="s">
        <v>267</v>
      </c>
      <c r="P139" s="43">
        <v>45705</v>
      </c>
      <c r="Q139" s="42">
        <v>263.14999999999998</v>
      </c>
      <c r="R139" s="42">
        <v>282.19</v>
      </c>
      <c r="S139" s="42">
        <v>270.68</v>
      </c>
      <c r="T139" s="42">
        <v>-11.51</v>
      </c>
      <c r="U139" s="42">
        <v>-6.49</v>
      </c>
      <c r="V139" s="40" t="s">
        <v>267</v>
      </c>
      <c r="AF139" s="43">
        <v>45705</v>
      </c>
      <c r="AG139" s="42">
        <v>263.14999999999998</v>
      </c>
      <c r="AH139" s="42">
        <v>282.19</v>
      </c>
      <c r="AI139" s="42">
        <v>270.68</v>
      </c>
      <c r="AJ139" s="42">
        <v>-11.51</v>
      </c>
      <c r="AK139" s="42">
        <v>-6.49</v>
      </c>
      <c r="AL139" s="40" t="s">
        <v>267</v>
      </c>
    </row>
    <row r="140" spans="1:38" x14ac:dyDescent="0.35">
      <c r="A140" s="43">
        <v>45702</v>
      </c>
      <c r="B140" s="42">
        <v>257.35000000000002</v>
      </c>
      <c r="C140" s="42">
        <v>283.70999999999998</v>
      </c>
      <c r="D140" s="42">
        <v>272.04000000000002</v>
      </c>
      <c r="E140" s="42">
        <v>-11.67</v>
      </c>
      <c r="F140" s="42">
        <v>-6.22</v>
      </c>
      <c r="G140" s="40" t="s">
        <v>267</v>
      </c>
      <c r="P140" s="43">
        <v>45702</v>
      </c>
      <c r="Q140" s="42">
        <v>257.35000000000002</v>
      </c>
      <c r="R140" s="42">
        <v>283.70999999999998</v>
      </c>
      <c r="S140" s="42">
        <v>272.04000000000002</v>
      </c>
      <c r="T140" s="42">
        <v>-11.67</v>
      </c>
      <c r="U140" s="42">
        <v>-6.22</v>
      </c>
      <c r="V140" s="40" t="s">
        <v>267</v>
      </c>
      <c r="AF140" s="43">
        <v>45702</v>
      </c>
      <c r="AG140" s="42">
        <v>257.35000000000002</v>
      </c>
      <c r="AH140" s="42">
        <v>283.70999999999998</v>
      </c>
      <c r="AI140" s="42">
        <v>272.04000000000002</v>
      </c>
      <c r="AJ140" s="42">
        <v>-11.67</v>
      </c>
      <c r="AK140" s="42">
        <v>-6.22</v>
      </c>
      <c r="AL140" s="40" t="s">
        <v>267</v>
      </c>
    </row>
    <row r="141" spans="1:38" x14ac:dyDescent="0.35">
      <c r="A141" s="43">
        <v>45701</v>
      </c>
      <c r="B141" s="42">
        <v>259.10000000000002</v>
      </c>
      <c r="C141" s="42">
        <v>285.82</v>
      </c>
      <c r="D141" s="42">
        <v>274.72000000000003</v>
      </c>
      <c r="E141" s="42">
        <v>-11.11</v>
      </c>
      <c r="F141" s="42">
        <v>-5.93</v>
      </c>
      <c r="G141" s="40" t="s">
        <v>267</v>
      </c>
      <c r="P141" s="43">
        <v>45701</v>
      </c>
      <c r="Q141" s="42">
        <v>259.10000000000002</v>
      </c>
      <c r="R141" s="42">
        <v>285.82</v>
      </c>
      <c r="S141" s="42">
        <v>274.72000000000003</v>
      </c>
      <c r="T141" s="42">
        <v>-11.11</v>
      </c>
      <c r="U141" s="42">
        <v>-5.93</v>
      </c>
      <c r="V141" s="40" t="s">
        <v>267</v>
      </c>
      <c r="AF141" s="43">
        <v>45701</v>
      </c>
      <c r="AG141" s="42">
        <v>259.10000000000002</v>
      </c>
      <c r="AH141" s="42">
        <v>285.82</v>
      </c>
      <c r="AI141" s="42">
        <v>274.72000000000003</v>
      </c>
      <c r="AJ141" s="42">
        <v>-11.11</v>
      </c>
      <c r="AK141" s="42">
        <v>-5.93</v>
      </c>
      <c r="AL141" s="40" t="s">
        <v>267</v>
      </c>
    </row>
    <row r="142" spans="1:38" x14ac:dyDescent="0.35">
      <c r="A142" s="43">
        <v>45700</v>
      </c>
      <c r="B142" s="42">
        <v>257.3</v>
      </c>
      <c r="C142" s="42">
        <v>287.95999999999998</v>
      </c>
      <c r="D142" s="42">
        <v>277.56</v>
      </c>
      <c r="E142" s="42">
        <v>-10.41</v>
      </c>
      <c r="F142" s="42">
        <v>-5.65</v>
      </c>
      <c r="G142" s="40" t="s">
        <v>267</v>
      </c>
      <c r="P142" s="43">
        <v>45700</v>
      </c>
      <c r="Q142" s="42">
        <v>257.3</v>
      </c>
      <c r="R142" s="42">
        <v>287.95999999999998</v>
      </c>
      <c r="S142" s="42">
        <v>277.56</v>
      </c>
      <c r="T142" s="42">
        <v>-10.41</v>
      </c>
      <c r="U142" s="42">
        <v>-5.65</v>
      </c>
      <c r="V142" s="40" t="s">
        <v>267</v>
      </c>
      <c r="AF142" s="43">
        <v>45700</v>
      </c>
      <c r="AG142" s="42">
        <v>257.3</v>
      </c>
      <c r="AH142" s="42">
        <v>287.95999999999998</v>
      </c>
      <c r="AI142" s="42">
        <v>277.56</v>
      </c>
      <c r="AJ142" s="42">
        <v>-10.41</v>
      </c>
      <c r="AK142" s="42">
        <v>-5.65</v>
      </c>
      <c r="AL142" s="40" t="s">
        <v>267</v>
      </c>
    </row>
    <row r="143" spans="1:38" x14ac:dyDescent="0.35">
      <c r="A143" s="43">
        <v>45699</v>
      </c>
      <c r="B143" s="42">
        <v>261.5</v>
      </c>
      <c r="C143" s="42">
        <v>290.41000000000003</v>
      </c>
      <c r="D143" s="42">
        <v>281.24</v>
      </c>
      <c r="E143" s="42">
        <v>-9.18</v>
      </c>
      <c r="F143" s="42">
        <v>-5.39</v>
      </c>
      <c r="G143" s="40" t="s">
        <v>267</v>
      </c>
      <c r="P143" s="43">
        <v>45699</v>
      </c>
      <c r="Q143" s="42">
        <v>261.5</v>
      </c>
      <c r="R143" s="42">
        <v>290.41000000000003</v>
      </c>
      <c r="S143" s="42">
        <v>281.24</v>
      </c>
      <c r="T143" s="42">
        <v>-9.18</v>
      </c>
      <c r="U143" s="42">
        <v>-5.39</v>
      </c>
      <c r="V143" s="40" t="s">
        <v>267</v>
      </c>
      <c r="AF143" s="43">
        <v>45699</v>
      </c>
      <c r="AG143" s="42">
        <v>261.5</v>
      </c>
      <c r="AH143" s="42">
        <v>290.41000000000003</v>
      </c>
      <c r="AI143" s="42">
        <v>281.24</v>
      </c>
      <c r="AJ143" s="42">
        <v>-9.18</v>
      </c>
      <c r="AK143" s="42">
        <v>-5.39</v>
      </c>
      <c r="AL143" s="40" t="s">
        <v>267</v>
      </c>
    </row>
    <row r="144" spans="1:38" x14ac:dyDescent="0.35">
      <c r="A144" s="43">
        <v>45698</v>
      </c>
      <c r="B144" s="42">
        <v>268.7</v>
      </c>
      <c r="C144" s="42">
        <v>292.73</v>
      </c>
      <c r="D144" s="42">
        <v>284.83</v>
      </c>
      <c r="E144" s="42">
        <v>-7.9</v>
      </c>
      <c r="F144" s="42">
        <v>-5.19</v>
      </c>
      <c r="G144" s="40" t="s">
        <v>267</v>
      </c>
      <c r="P144" s="43">
        <v>45698</v>
      </c>
      <c r="Q144" s="42">
        <v>268.7</v>
      </c>
      <c r="R144" s="42">
        <v>292.73</v>
      </c>
      <c r="S144" s="42">
        <v>284.83</v>
      </c>
      <c r="T144" s="42">
        <v>-7.9</v>
      </c>
      <c r="U144" s="42">
        <v>-5.19</v>
      </c>
      <c r="V144" s="40" t="s">
        <v>267</v>
      </c>
      <c r="AF144" s="43">
        <v>45698</v>
      </c>
      <c r="AG144" s="42">
        <v>268.7</v>
      </c>
      <c r="AH144" s="42">
        <v>292.73</v>
      </c>
      <c r="AI144" s="42">
        <v>284.83</v>
      </c>
      <c r="AJ144" s="42">
        <v>-7.9</v>
      </c>
      <c r="AK144" s="42">
        <v>-5.19</v>
      </c>
      <c r="AL144" s="40" t="s">
        <v>267</v>
      </c>
    </row>
    <row r="145" spans="1:38" x14ac:dyDescent="0.35">
      <c r="A145" s="43">
        <v>45695</v>
      </c>
      <c r="B145" s="42">
        <v>278.3</v>
      </c>
      <c r="C145" s="42">
        <v>294.64999999999998</v>
      </c>
      <c r="D145" s="42">
        <v>287.76</v>
      </c>
      <c r="E145" s="42">
        <v>-6.89</v>
      </c>
      <c r="F145" s="42">
        <v>-5.04</v>
      </c>
      <c r="G145" s="40" t="s">
        <v>267</v>
      </c>
      <c r="P145" s="43">
        <v>45695</v>
      </c>
      <c r="Q145" s="42">
        <v>278.3</v>
      </c>
      <c r="R145" s="42">
        <v>294.64999999999998</v>
      </c>
      <c r="S145" s="42">
        <v>287.76</v>
      </c>
      <c r="T145" s="42">
        <v>-6.89</v>
      </c>
      <c r="U145" s="42">
        <v>-5.04</v>
      </c>
      <c r="V145" s="40" t="s">
        <v>267</v>
      </c>
      <c r="AF145" s="43">
        <v>45695</v>
      </c>
      <c r="AG145" s="42">
        <v>278.3</v>
      </c>
      <c r="AH145" s="42">
        <v>294.64999999999998</v>
      </c>
      <c r="AI145" s="42">
        <v>287.76</v>
      </c>
      <c r="AJ145" s="42">
        <v>-6.89</v>
      </c>
      <c r="AK145" s="42">
        <v>-5.04</v>
      </c>
      <c r="AL145" s="40" t="s">
        <v>267</v>
      </c>
    </row>
    <row r="146" spans="1:38" x14ac:dyDescent="0.35">
      <c r="A146" s="43">
        <v>45694</v>
      </c>
      <c r="B146" s="42">
        <v>281.25</v>
      </c>
      <c r="C146" s="42">
        <v>295.95999999999998</v>
      </c>
      <c r="D146" s="42">
        <v>289.48</v>
      </c>
      <c r="E146" s="42">
        <v>-6.48</v>
      </c>
      <c r="F146" s="42">
        <v>-4.9400000000000004</v>
      </c>
      <c r="G146" s="40" t="s">
        <v>267</v>
      </c>
      <c r="P146" s="43">
        <v>45694</v>
      </c>
      <c r="Q146" s="42">
        <v>281.25</v>
      </c>
      <c r="R146" s="42">
        <v>295.95999999999998</v>
      </c>
      <c r="S146" s="42">
        <v>289.48</v>
      </c>
      <c r="T146" s="42">
        <v>-6.48</v>
      </c>
      <c r="U146" s="42">
        <v>-4.9400000000000004</v>
      </c>
      <c r="V146" s="40" t="s">
        <v>267</v>
      </c>
      <c r="AF146" s="43">
        <v>45694</v>
      </c>
      <c r="AG146" s="42">
        <v>281.25</v>
      </c>
      <c r="AH146" s="42">
        <v>295.95999999999998</v>
      </c>
      <c r="AI146" s="42">
        <v>289.48</v>
      </c>
      <c r="AJ146" s="42">
        <v>-6.48</v>
      </c>
      <c r="AK146" s="42">
        <v>-4.9400000000000004</v>
      </c>
      <c r="AL146" s="40" t="s">
        <v>267</v>
      </c>
    </row>
    <row r="147" spans="1:38" x14ac:dyDescent="0.35">
      <c r="A147" s="43">
        <v>45693</v>
      </c>
      <c r="B147" s="42">
        <v>285.14999999999998</v>
      </c>
      <c r="C147" s="42">
        <v>297.13</v>
      </c>
      <c r="D147" s="42">
        <v>290.98</v>
      </c>
      <c r="E147" s="42">
        <v>-6.16</v>
      </c>
      <c r="F147" s="42">
        <v>-4.8600000000000003</v>
      </c>
      <c r="G147" s="40" t="s">
        <v>267</v>
      </c>
      <c r="P147" s="43">
        <v>45693</v>
      </c>
      <c r="Q147" s="42">
        <v>285.14999999999998</v>
      </c>
      <c r="R147" s="42">
        <v>297.13</v>
      </c>
      <c r="S147" s="42">
        <v>290.98</v>
      </c>
      <c r="T147" s="42">
        <v>-6.16</v>
      </c>
      <c r="U147" s="42">
        <v>-4.8600000000000003</v>
      </c>
      <c r="V147" s="40" t="s">
        <v>267</v>
      </c>
      <c r="AF147" s="43">
        <v>45693</v>
      </c>
      <c r="AG147" s="42">
        <v>285.14999999999998</v>
      </c>
      <c r="AH147" s="42">
        <v>297.13</v>
      </c>
      <c r="AI147" s="42">
        <v>290.98</v>
      </c>
      <c r="AJ147" s="42">
        <v>-6.16</v>
      </c>
      <c r="AK147" s="42">
        <v>-4.8600000000000003</v>
      </c>
      <c r="AL147" s="40" t="s">
        <v>267</v>
      </c>
    </row>
    <row r="148" spans="1:38" x14ac:dyDescent="0.35">
      <c r="A148" s="43">
        <v>45692</v>
      </c>
      <c r="B148" s="42">
        <v>285.75</v>
      </c>
      <c r="C148" s="42">
        <v>298.08999999999997</v>
      </c>
      <c r="D148" s="42">
        <v>292.02999999999997</v>
      </c>
      <c r="E148" s="42">
        <v>-6.06</v>
      </c>
      <c r="F148" s="42">
        <v>-4.78</v>
      </c>
      <c r="G148" s="40" t="s">
        <v>267</v>
      </c>
      <c r="P148" s="43">
        <v>45692</v>
      </c>
      <c r="Q148" s="42">
        <v>285.75</v>
      </c>
      <c r="R148" s="42">
        <v>298.08999999999997</v>
      </c>
      <c r="S148" s="42">
        <v>292.02999999999997</v>
      </c>
      <c r="T148" s="42">
        <v>-6.06</v>
      </c>
      <c r="U148" s="42">
        <v>-4.78</v>
      </c>
      <c r="V148" s="40" t="s">
        <v>267</v>
      </c>
      <c r="AF148" s="43">
        <v>45692</v>
      </c>
      <c r="AG148" s="42">
        <v>285.75</v>
      </c>
      <c r="AH148" s="42">
        <v>298.08999999999997</v>
      </c>
      <c r="AI148" s="42">
        <v>292.02999999999997</v>
      </c>
      <c r="AJ148" s="42">
        <v>-6.06</v>
      </c>
      <c r="AK148" s="42">
        <v>-4.78</v>
      </c>
      <c r="AL148" s="40" t="s">
        <v>267</v>
      </c>
    </row>
    <row r="149" spans="1:38" x14ac:dyDescent="0.35">
      <c r="A149" s="43">
        <v>45691</v>
      </c>
      <c r="B149" s="42">
        <v>283.89999999999998</v>
      </c>
      <c r="C149" s="42">
        <v>299.08</v>
      </c>
      <c r="D149" s="42">
        <v>293.18</v>
      </c>
      <c r="E149" s="42">
        <v>-5.9</v>
      </c>
      <c r="F149" s="42">
        <v>-4.72</v>
      </c>
      <c r="G149" s="40" t="s">
        <v>267</v>
      </c>
      <c r="P149" s="43">
        <v>45691</v>
      </c>
      <c r="Q149" s="42">
        <v>283.89999999999998</v>
      </c>
      <c r="R149" s="42">
        <v>299.08</v>
      </c>
      <c r="S149" s="42">
        <v>293.18</v>
      </c>
      <c r="T149" s="42">
        <v>-5.9</v>
      </c>
      <c r="U149" s="42">
        <v>-4.72</v>
      </c>
      <c r="V149" s="40" t="s">
        <v>267</v>
      </c>
      <c r="AF149" s="43">
        <v>45691</v>
      </c>
      <c r="AG149" s="42">
        <v>283.89999999999998</v>
      </c>
      <c r="AH149" s="42">
        <v>299.08</v>
      </c>
      <c r="AI149" s="42">
        <v>293.18</v>
      </c>
      <c r="AJ149" s="42">
        <v>-5.9</v>
      </c>
      <c r="AK149" s="42">
        <v>-4.72</v>
      </c>
      <c r="AL149" s="40" t="s">
        <v>267</v>
      </c>
    </row>
    <row r="150" spans="1:38" x14ac:dyDescent="0.35">
      <c r="A150" s="43">
        <v>45689</v>
      </c>
      <c r="B150" s="42">
        <v>289.95</v>
      </c>
      <c r="C150" s="42">
        <v>300.29000000000002</v>
      </c>
      <c r="D150" s="42">
        <v>294.86</v>
      </c>
      <c r="E150" s="42">
        <v>-5.43</v>
      </c>
      <c r="F150" s="42">
        <v>-4.6500000000000004</v>
      </c>
      <c r="G150" s="40" t="s">
        <v>267</v>
      </c>
      <c r="P150" s="43">
        <v>45689</v>
      </c>
      <c r="Q150" s="42">
        <v>289.95</v>
      </c>
      <c r="R150" s="42">
        <v>300.29000000000002</v>
      </c>
      <c r="S150" s="42">
        <v>294.86</v>
      </c>
      <c r="T150" s="42">
        <v>-5.43</v>
      </c>
      <c r="U150" s="42">
        <v>-4.6500000000000004</v>
      </c>
      <c r="V150" s="40" t="s">
        <v>267</v>
      </c>
      <c r="AF150" s="43">
        <v>45689</v>
      </c>
      <c r="AG150" s="42">
        <v>289.95</v>
      </c>
      <c r="AH150" s="42">
        <v>300.29000000000002</v>
      </c>
      <c r="AI150" s="42">
        <v>294.86</v>
      </c>
      <c r="AJ150" s="42">
        <v>-5.43</v>
      </c>
      <c r="AK150" s="42">
        <v>-4.6500000000000004</v>
      </c>
      <c r="AL150" s="40" t="s">
        <v>267</v>
      </c>
    </row>
    <row r="151" spans="1:38" x14ac:dyDescent="0.35">
      <c r="A151" s="43">
        <v>45688</v>
      </c>
      <c r="B151" s="42">
        <v>301.85000000000002</v>
      </c>
      <c r="C151" s="42">
        <v>301.12</v>
      </c>
      <c r="D151" s="42">
        <v>295.76</v>
      </c>
      <c r="E151" s="42">
        <v>-5.36</v>
      </c>
      <c r="F151" s="42">
        <v>-4.6100000000000003</v>
      </c>
      <c r="G151" s="40" t="s">
        <v>267</v>
      </c>
      <c r="P151" s="43">
        <v>45688</v>
      </c>
      <c r="Q151" s="42">
        <v>301.85000000000002</v>
      </c>
      <c r="R151" s="42">
        <v>301.12</v>
      </c>
      <c r="S151" s="42">
        <v>295.76</v>
      </c>
      <c r="T151" s="42">
        <v>-5.36</v>
      </c>
      <c r="U151" s="42">
        <v>-4.6100000000000003</v>
      </c>
      <c r="V151" s="40" t="s">
        <v>267</v>
      </c>
      <c r="AF151" s="43">
        <v>45688</v>
      </c>
      <c r="AG151" s="42">
        <v>301.85000000000002</v>
      </c>
      <c r="AH151" s="42">
        <v>301.12</v>
      </c>
      <c r="AI151" s="42">
        <v>295.76</v>
      </c>
      <c r="AJ151" s="42">
        <v>-5.36</v>
      </c>
      <c r="AK151" s="42">
        <v>-4.6100000000000003</v>
      </c>
      <c r="AL151" s="40" t="s">
        <v>267</v>
      </c>
    </row>
    <row r="152" spans="1:38" x14ac:dyDescent="0.35">
      <c r="A152" s="43">
        <v>45687</v>
      </c>
      <c r="B152" s="42">
        <v>295.25</v>
      </c>
      <c r="C152" s="42">
        <v>301.06</v>
      </c>
      <c r="D152" s="42">
        <v>294.64999999999998</v>
      </c>
      <c r="E152" s="42">
        <v>-6.41</v>
      </c>
      <c r="F152" s="42">
        <v>-4.57</v>
      </c>
      <c r="G152" s="40" t="s">
        <v>267</v>
      </c>
      <c r="P152" s="43">
        <v>45687</v>
      </c>
      <c r="Q152" s="42">
        <v>295.25</v>
      </c>
      <c r="R152" s="42">
        <v>301.06</v>
      </c>
      <c r="S152" s="42">
        <v>294.64999999999998</v>
      </c>
      <c r="T152" s="42">
        <v>-6.41</v>
      </c>
      <c r="U152" s="42">
        <v>-4.57</v>
      </c>
      <c r="V152" s="40" t="s">
        <v>267</v>
      </c>
      <c r="AF152" s="43">
        <v>45687</v>
      </c>
      <c r="AG152" s="42">
        <v>295.25</v>
      </c>
      <c r="AH152" s="42">
        <v>301.06</v>
      </c>
      <c r="AI152" s="42">
        <v>294.64999999999998</v>
      </c>
      <c r="AJ152" s="42">
        <v>-6.41</v>
      </c>
      <c r="AK152" s="42">
        <v>-4.57</v>
      </c>
      <c r="AL152" s="40" t="s">
        <v>267</v>
      </c>
    </row>
    <row r="153" spans="1:38" x14ac:dyDescent="0.35">
      <c r="A153" s="43">
        <v>45686</v>
      </c>
      <c r="B153" s="42">
        <v>287.8</v>
      </c>
      <c r="C153" s="42">
        <v>301.52999999999997</v>
      </c>
      <c r="D153" s="42">
        <v>294.54000000000002</v>
      </c>
      <c r="E153" s="42">
        <v>-6.99</v>
      </c>
      <c r="F153" s="42">
        <v>-4.47</v>
      </c>
      <c r="G153" s="40" t="s">
        <v>267</v>
      </c>
      <c r="P153" s="43">
        <v>45686</v>
      </c>
      <c r="Q153" s="42">
        <v>287.8</v>
      </c>
      <c r="R153" s="42">
        <v>301.52999999999997</v>
      </c>
      <c r="S153" s="42">
        <v>294.54000000000002</v>
      </c>
      <c r="T153" s="42">
        <v>-6.99</v>
      </c>
      <c r="U153" s="42">
        <v>-4.47</v>
      </c>
      <c r="V153" s="40" t="s">
        <v>267</v>
      </c>
      <c r="AF153" s="43">
        <v>45686</v>
      </c>
      <c r="AG153" s="42">
        <v>287.8</v>
      </c>
      <c r="AH153" s="42">
        <v>301.52999999999997</v>
      </c>
      <c r="AI153" s="42">
        <v>294.54000000000002</v>
      </c>
      <c r="AJ153" s="42">
        <v>-6.99</v>
      </c>
      <c r="AK153" s="42">
        <v>-4.47</v>
      </c>
      <c r="AL153" s="40" t="s">
        <v>267</v>
      </c>
    </row>
    <row r="154" spans="1:38" x14ac:dyDescent="0.35">
      <c r="A154" s="43">
        <v>45685</v>
      </c>
      <c r="B154" s="42">
        <v>283.85000000000002</v>
      </c>
      <c r="C154" s="42">
        <v>302.63</v>
      </c>
      <c r="D154" s="42">
        <v>295.77</v>
      </c>
      <c r="E154" s="42">
        <v>-6.86</v>
      </c>
      <c r="F154" s="42">
        <v>-4.33</v>
      </c>
      <c r="G154" s="40" t="s">
        <v>267</v>
      </c>
      <c r="P154" s="43">
        <v>45685</v>
      </c>
      <c r="Q154" s="42">
        <v>283.85000000000002</v>
      </c>
      <c r="R154" s="42">
        <v>302.63</v>
      </c>
      <c r="S154" s="42">
        <v>295.77</v>
      </c>
      <c r="T154" s="42">
        <v>-6.86</v>
      </c>
      <c r="U154" s="42">
        <v>-4.33</v>
      </c>
      <c r="V154" s="40" t="s">
        <v>267</v>
      </c>
      <c r="AF154" s="43">
        <v>45685</v>
      </c>
      <c r="AG154" s="42">
        <v>283.85000000000002</v>
      </c>
      <c r="AH154" s="42">
        <v>302.63</v>
      </c>
      <c r="AI154" s="42">
        <v>295.77</v>
      </c>
      <c r="AJ154" s="42">
        <v>-6.86</v>
      </c>
      <c r="AK154" s="42">
        <v>-4.33</v>
      </c>
      <c r="AL154" s="40" t="s">
        <v>267</v>
      </c>
    </row>
    <row r="155" spans="1:38" x14ac:dyDescent="0.35">
      <c r="A155" s="43">
        <v>45684</v>
      </c>
      <c r="B155" s="42">
        <v>287.05</v>
      </c>
      <c r="C155" s="42">
        <v>304.13</v>
      </c>
      <c r="D155" s="42">
        <v>297.93</v>
      </c>
      <c r="E155" s="42">
        <v>-6.2</v>
      </c>
      <c r="F155" s="42">
        <v>-4.2</v>
      </c>
      <c r="G155" s="40" t="s">
        <v>267</v>
      </c>
      <c r="P155" s="43">
        <v>45684</v>
      </c>
      <c r="Q155" s="42">
        <v>287.05</v>
      </c>
      <c r="R155" s="42">
        <v>304.13</v>
      </c>
      <c r="S155" s="42">
        <v>297.93</v>
      </c>
      <c r="T155" s="42">
        <v>-6.2</v>
      </c>
      <c r="U155" s="42">
        <v>-4.2</v>
      </c>
      <c r="V155" s="40" t="s">
        <v>267</v>
      </c>
      <c r="AF155" s="43">
        <v>45684</v>
      </c>
      <c r="AG155" s="42">
        <v>287.05</v>
      </c>
      <c r="AH155" s="42">
        <v>304.13</v>
      </c>
      <c r="AI155" s="42">
        <v>297.93</v>
      </c>
      <c r="AJ155" s="42">
        <v>-6.2</v>
      </c>
      <c r="AK155" s="42">
        <v>-4.2</v>
      </c>
      <c r="AL155" s="40" t="s">
        <v>267</v>
      </c>
    </row>
    <row r="156" spans="1:38" x14ac:dyDescent="0.35">
      <c r="A156" s="43">
        <v>45681</v>
      </c>
      <c r="B156" s="42">
        <v>295.75</v>
      </c>
      <c r="C156" s="42">
        <v>305.5</v>
      </c>
      <c r="D156" s="42">
        <v>299.91000000000003</v>
      </c>
      <c r="E156" s="42">
        <v>-5.58</v>
      </c>
      <c r="F156" s="42">
        <v>-4.09</v>
      </c>
      <c r="G156" s="40" t="s">
        <v>267</v>
      </c>
      <c r="P156" s="43">
        <v>45681</v>
      </c>
      <c r="Q156" s="42">
        <v>295.75</v>
      </c>
      <c r="R156" s="42">
        <v>305.5</v>
      </c>
      <c r="S156" s="42">
        <v>299.91000000000003</v>
      </c>
      <c r="T156" s="42">
        <v>-5.58</v>
      </c>
      <c r="U156" s="42">
        <v>-4.09</v>
      </c>
      <c r="V156" s="40" t="s">
        <v>267</v>
      </c>
      <c r="AF156" s="43">
        <v>45681</v>
      </c>
      <c r="AG156" s="42">
        <v>295.75</v>
      </c>
      <c r="AH156" s="42">
        <v>305.5</v>
      </c>
      <c r="AI156" s="42">
        <v>299.91000000000003</v>
      </c>
      <c r="AJ156" s="42">
        <v>-5.58</v>
      </c>
      <c r="AK156" s="42">
        <v>-4.09</v>
      </c>
      <c r="AL156" s="40" t="s">
        <v>267</v>
      </c>
    </row>
    <row r="157" spans="1:38" x14ac:dyDescent="0.35">
      <c r="A157" s="43">
        <v>45680</v>
      </c>
      <c r="B157" s="42">
        <v>294.3</v>
      </c>
      <c r="C157" s="42">
        <v>306.27999999999997</v>
      </c>
      <c r="D157" s="42">
        <v>300.67</v>
      </c>
      <c r="E157" s="42">
        <v>-5.61</v>
      </c>
      <c r="F157" s="42">
        <v>-4.01</v>
      </c>
      <c r="G157" s="40" t="s">
        <v>267</v>
      </c>
      <c r="P157" s="43">
        <v>45680</v>
      </c>
      <c r="Q157" s="42">
        <v>294.3</v>
      </c>
      <c r="R157" s="42">
        <v>306.27999999999997</v>
      </c>
      <c r="S157" s="42">
        <v>300.67</v>
      </c>
      <c r="T157" s="42">
        <v>-5.61</v>
      </c>
      <c r="U157" s="42">
        <v>-4.01</v>
      </c>
      <c r="V157" s="40" t="s">
        <v>267</v>
      </c>
      <c r="AF157" s="43">
        <v>45680</v>
      </c>
      <c r="AG157" s="42">
        <v>294.3</v>
      </c>
      <c r="AH157" s="42">
        <v>306.27999999999997</v>
      </c>
      <c r="AI157" s="42">
        <v>300.67</v>
      </c>
      <c r="AJ157" s="42">
        <v>-5.61</v>
      </c>
      <c r="AK157" s="42">
        <v>-4.01</v>
      </c>
      <c r="AL157" s="40" t="s">
        <v>267</v>
      </c>
    </row>
    <row r="158" spans="1:38" x14ac:dyDescent="0.35">
      <c r="A158" s="43">
        <v>45679</v>
      </c>
      <c r="B158" s="42">
        <v>297.85000000000002</v>
      </c>
      <c r="C158" s="42">
        <v>307.23</v>
      </c>
      <c r="D158" s="42">
        <v>301.83</v>
      </c>
      <c r="E158" s="42">
        <v>-5.41</v>
      </c>
      <c r="F158" s="42">
        <v>-3.92</v>
      </c>
      <c r="G158" s="40" t="s">
        <v>267</v>
      </c>
      <c r="P158" s="43">
        <v>45679</v>
      </c>
      <c r="Q158" s="42">
        <v>297.85000000000002</v>
      </c>
      <c r="R158" s="42">
        <v>307.23</v>
      </c>
      <c r="S158" s="42">
        <v>301.83</v>
      </c>
      <c r="T158" s="42">
        <v>-5.41</v>
      </c>
      <c r="U158" s="42">
        <v>-3.92</v>
      </c>
      <c r="V158" s="40" t="s">
        <v>267</v>
      </c>
      <c r="AF158" s="43">
        <v>45679</v>
      </c>
      <c r="AG158" s="42">
        <v>297.85000000000002</v>
      </c>
      <c r="AH158" s="42">
        <v>307.23</v>
      </c>
      <c r="AI158" s="42">
        <v>301.83</v>
      </c>
      <c r="AJ158" s="42">
        <v>-5.41</v>
      </c>
      <c r="AK158" s="42">
        <v>-3.92</v>
      </c>
      <c r="AL158" s="40" t="s">
        <v>267</v>
      </c>
    </row>
    <row r="159" spans="1:38" x14ac:dyDescent="0.35">
      <c r="A159" s="43">
        <v>45678</v>
      </c>
      <c r="B159" s="42">
        <v>302.3</v>
      </c>
      <c r="C159" s="42">
        <v>307.98</v>
      </c>
      <c r="D159" s="42">
        <v>302.55</v>
      </c>
      <c r="E159" s="42">
        <v>-5.43</v>
      </c>
      <c r="F159" s="42">
        <v>-3.84</v>
      </c>
      <c r="G159" s="40" t="s">
        <v>267</v>
      </c>
      <c r="P159" s="43">
        <v>45678</v>
      </c>
      <c r="Q159" s="42">
        <v>302.3</v>
      </c>
      <c r="R159" s="42">
        <v>307.98</v>
      </c>
      <c r="S159" s="42">
        <v>302.55</v>
      </c>
      <c r="T159" s="42">
        <v>-5.43</v>
      </c>
      <c r="U159" s="42">
        <v>-3.84</v>
      </c>
      <c r="V159" s="40" t="s">
        <v>267</v>
      </c>
      <c r="AF159" s="43">
        <v>45678</v>
      </c>
      <c r="AG159" s="42">
        <v>302.3</v>
      </c>
      <c r="AH159" s="42">
        <v>307.98</v>
      </c>
      <c r="AI159" s="42">
        <v>302.55</v>
      </c>
      <c r="AJ159" s="42">
        <v>-5.43</v>
      </c>
      <c r="AK159" s="42">
        <v>-3.84</v>
      </c>
      <c r="AL159" s="40" t="s">
        <v>267</v>
      </c>
    </row>
    <row r="160" spans="1:38" x14ac:dyDescent="0.35">
      <c r="A160" s="43">
        <v>45677</v>
      </c>
      <c r="B160" s="42">
        <v>306.45</v>
      </c>
      <c r="C160" s="42">
        <v>308.44</v>
      </c>
      <c r="D160" s="42">
        <v>302.60000000000002</v>
      </c>
      <c r="E160" s="42">
        <v>-5.84</v>
      </c>
      <c r="F160" s="42">
        <v>-3.76</v>
      </c>
      <c r="G160" s="40" t="s">
        <v>267</v>
      </c>
      <c r="P160" s="43">
        <v>45677</v>
      </c>
      <c r="Q160" s="42">
        <v>306.45</v>
      </c>
      <c r="R160" s="42">
        <v>308.44</v>
      </c>
      <c r="S160" s="42">
        <v>302.60000000000002</v>
      </c>
      <c r="T160" s="42">
        <v>-5.84</v>
      </c>
      <c r="U160" s="42">
        <v>-3.76</v>
      </c>
      <c r="V160" s="40" t="s">
        <v>267</v>
      </c>
      <c r="AF160" s="43">
        <v>45677</v>
      </c>
      <c r="AG160" s="42">
        <v>306.45</v>
      </c>
      <c r="AH160" s="42">
        <v>308.44</v>
      </c>
      <c r="AI160" s="42">
        <v>302.60000000000002</v>
      </c>
      <c r="AJ160" s="42">
        <v>-5.84</v>
      </c>
      <c r="AK160" s="42">
        <v>-3.76</v>
      </c>
      <c r="AL160" s="40" t="s">
        <v>267</v>
      </c>
    </row>
    <row r="161" spans="1:38" x14ac:dyDescent="0.35">
      <c r="A161" s="43">
        <v>45674</v>
      </c>
      <c r="B161" s="42">
        <v>302.55</v>
      </c>
      <c r="C161" s="42">
        <v>308.60000000000002</v>
      </c>
      <c r="D161" s="42">
        <v>301.89999999999998</v>
      </c>
      <c r="E161" s="42">
        <v>-6.7</v>
      </c>
      <c r="F161" s="42">
        <v>-3.64</v>
      </c>
      <c r="G161" s="40" t="s">
        <v>267</v>
      </c>
      <c r="P161" s="43">
        <v>45674</v>
      </c>
      <c r="Q161" s="42">
        <v>302.55</v>
      </c>
      <c r="R161" s="42">
        <v>308.60000000000002</v>
      </c>
      <c r="S161" s="42">
        <v>301.89999999999998</v>
      </c>
      <c r="T161" s="42">
        <v>-6.7</v>
      </c>
      <c r="U161" s="42">
        <v>-3.64</v>
      </c>
      <c r="V161" s="40" t="s">
        <v>267</v>
      </c>
      <c r="AF161" s="43">
        <v>45674</v>
      </c>
      <c r="AG161" s="42">
        <v>302.55</v>
      </c>
      <c r="AH161" s="42">
        <v>308.60000000000002</v>
      </c>
      <c r="AI161" s="42">
        <v>301.89999999999998</v>
      </c>
      <c r="AJ161" s="42">
        <v>-6.7</v>
      </c>
      <c r="AK161" s="42">
        <v>-3.64</v>
      </c>
      <c r="AL161" s="40" t="s">
        <v>267</v>
      </c>
    </row>
    <row r="162" spans="1:38" x14ac:dyDescent="0.35">
      <c r="A162" s="43">
        <v>45673</v>
      </c>
      <c r="B162" s="42">
        <v>297.64999999999998</v>
      </c>
      <c r="C162" s="42">
        <v>309.08</v>
      </c>
      <c r="D162" s="42">
        <v>301.77999999999997</v>
      </c>
      <c r="E162" s="42">
        <v>-7.3</v>
      </c>
      <c r="F162" s="42">
        <v>-3.48</v>
      </c>
      <c r="G162" s="40" t="s">
        <v>267</v>
      </c>
      <c r="P162" s="43">
        <v>45673</v>
      </c>
      <c r="Q162" s="42">
        <v>297.64999999999998</v>
      </c>
      <c r="R162" s="42">
        <v>309.08</v>
      </c>
      <c r="S162" s="42">
        <v>301.77999999999997</v>
      </c>
      <c r="T162" s="42">
        <v>-7.3</v>
      </c>
      <c r="U162" s="42">
        <v>-3.48</v>
      </c>
      <c r="V162" s="40" t="s">
        <v>267</v>
      </c>
      <c r="AF162" s="43">
        <v>45673</v>
      </c>
      <c r="AG162" s="42">
        <v>297.64999999999998</v>
      </c>
      <c r="AH162" s="42">
        <v>309.08</v>
      </c>
      <c r="AI162" s="42">
        <v>301.77999999999997</v>
      </c>
      <c r="AJ162" s="42">
        <v>-7.3</v>
      </c>
      <c r="AK162" s="42">
        <v>-3.48</v>
      </c>
      <c r="AL162" s="40" t="s">
        <v>267</v>
      </c>
    </row>
    <row r="163" spans="1:38" x14ac:dyDescent="0.35">
      <c r="A163" s="43">
        <v>45672</v>
      </c>
      <c r="B163" s="42">
        <v>298.64999999999998</v>
      </c>
      <c r="C163" s="42">
        <v>310</v>
      </c>
      <c r="D163" s="42">
        <v>302.52999999999997</v>
      </c>
      <c r="E163" s="42">
        <v>-7.47</v>
      </c>
      <c r="F163" s="42">
        <v>-3.27</v>
      </c>
      <c r="G163" s="40" t="s">
        <v>267</v>
      </c>
      <c r="P163" s="43">
        <v>45672</v>
      </c>
      <c r="Q163" s="42">
        <v>298.64999999999998</v>
      </c>
      <c r="R163" s="42">
        <v>310</v>
      </c>
      <c r="S163" s="42">
        <v>302.52999999999997</v>
      </c>
      <c r="T163" s="42">
        <v>-7.47</v>
      </c>
      <c r="U163" s="42">
        <v>-3.27</v>
      </c>
      <c r="V163" s="40" t="s">
        <v>267</v>
      </c>
      <c r="AF163" s="43">
        <v>45672</v>
      </c>
      <c r="AG163" s="42">
        <v>298.64999999999998</v>
      </c>
      <c r="AH163" s="42">
        <v>310</v>
      </c>
      <c r="AI163" s="42">
        <v>302.52999999999997</v>
      </c>
      <c r="AJ163" s="42">
        <v>-7.47</v>
      </c>
      <c r="AK163" s="42">
        <v>-3.27</v>
      </c>
      <c r="AL163" s="40" t="s">
        <v>267</v>
      </c>
    </row>
    <row r="164" spans="1:38" x14ac:dyDescent="0.35">
      <c r="A164" s="43">
        <v>45671</v>
      </c>
      <c r="B164" s="42">
        <v>290</v>
      </c>
      <c r="C164" s="42">
        <v>310.89999999999998</v>
      </c>
      <c r="D164" s="42">
        <v>303.23</v>
      </c>
      <c r="E164" s="42">
        <v>-7.67</v>
      </c>
      <c r="F164" s="42">
        <v>-3.04</v>
      </c>
      <c r="G164" s="40" t="s">
        <v>267</v>
      </c>
      <c r="P164" s="43">
        <v>45671</v>
      </c>
      <c r="Q164" s="42">
        <v>290</v>
      </c>
      <c r="R164" s="42">
        <v>310.89999999999998</v>
      </c>
      <c r="S164" s="42">
        <v>303.23</v>
      </c>
      <c r="T164" s="42">
        <v>-7.67</v>
      </c>
      <c r="U164" s="42">
        <v>-3.04</v>
      </c>
      <c r="V164" s="40" t="s">
        <v>267</v>
      </c>
      <c r="AF164" s="43">
        <v>45671</v>
      </c>
      <c r="AG164" s="42">
        <v>290</v>
      </c>
      <c r="AH164" s="42">
        <v>310.89999999999998</v>
      </c>
      <c r="AI164" s="42">
        <v>303.23</v>
      </c>
      <c r="AJ164" s="42">
        <v>-7.67</v>
      </c>
      <c r="AK164" s="42">
        <v>-3.04</v>
      </c>
      <c r="AL164" s="40" t="s">
        <v>267</v>
      </c>
    </row>
    <row r="165" spans="1:38" x14ac:dyDescent="0.35">
      <c r="A165" s="43">
        <v>45670</v>
      </c>
      <c r="B165" s="42">
        <v>287.55</v>
      </c>
      <c r="C165" s="42">
        <v>312.58</v>
      </c>
      <c r="D165" s="42">
        <v>305.64</v>
      </c>
      <c r="E165" s="42">
        <v>-6.94</v>
      </c>
      <c r="F165" s="42">
        <v>-2.79</v>
      </c>
      <c r="G165" s="40" t="s">
        <v>267</v>
      </c>
      <c r="P165" s="43">
        <v>45670</v>
      </c>
      <c r="Q165" s="42">
        <v>287.55</v>
      </c>
      <c r="R165" s="42">
        <v>312.58</v>
      </c>
      <c r="S165" s="42">
        <v>305.64</v>
      </c>
      <c r="T165" s="42">
        <v>-6.94</v>
      </c>
      <c r="U165" s="42">
        <v>-2.79</v>
      </c>
      <c r="V165" s="40" t="s">
        <v>267</v>
      </c>
      <c r="AF165" s="43">
        <v>45670</v>
      </c>
      <c r="AG165" s="42">
        <v>287.55</v>
      </c>
      <c r="AH165" s="42">
        <v>312.58</v>
      </c>
      <c r="AI165" s="42">
        <v>305.64</v>
      </c>
      <c r="AJ165" s="42">
        <v>-6.94</v>
      </c>
      <c r="AK165" s="42">
        <v>-2.79</v>
      </c>
      <c r="AL165" s="40" t="s">
        <v>267</v>
      </c>
    </row>
    <row r="166" spans="1:38" x14ac:dyDescent="0.35">
      <c r="A166" s="43">
        <v>45667</v>
      </c>
      <c r="B166" s="42">
        <v>299.8</v>
      </c>
      <c r="C166" s="42">
        <v>314.58</v>
      </c>
      <c r="D166" s="42">
        <v>308.93</v>
      </c>
      <c r="E166" s="42">
        <v>-5.65</v>
      </c>
      <c r="F166" s="42">
        <v>-2.57</v>
      </c>
      <c r="G166" s="40" t="s">
        <v>267</v>
      </c>
      <c r="P166" s="43">
        <v>45667</v>
      </c>
      <c r="Q166" s="42">
        <v>299.8</v>
      </c>
      <c r="R166" s="42">
        <v>314.58</v>
      </c>
      <c r="S166" s="42">
        <v>308.93</v>
      </c>
      <c r="T166" s="42">
        <v>-5.65</v>
      </c>
      <c r="U166" s="42">
        <v>-2.57</v>
      </c>
      <c r="V166" s="40" t="s">
        <v>267</v>
      </c>
      <c r="AF166" s="43">
        <v>45667</v>
      </c>
      <c r="AG166" s="42">
        <v>299.8</v>
      </c>
      <c r="AH166" s="42">
        <v>314.58</v>
      </c>
      <c r="AI166" s="42">
        <v>308.93</v>
      </c>
      <c r="AJ166" s="42">
        <v>-5.65</v>
      </c>
      <c r="AK166" s="42">
        <v>-2.57</v>
      </c>
      <c r="AL166" s="40" t="s">
        <v>267</v>
      </c>
    </row>
    <row r="167" spans="1:38" x14ac:dyDescent="0.35">
      <c r="A167" s="43">
        <v>45666</v>
      </c>
      <c r="B167" s="42">
        <v>305.3</v>
      </c>
      <c r="C167" s="42">
        <v>315.76</v>
      </c>
      <c r="D167" s="42">
        <v>310.58999999999997</v>
      </c>
      <c r="E167" s="42">
        <v>-5.17</v>
      </c>
      <c r="F167" s="42">
        <v>-2.4</v>
      </c>
      <c r="G167" s="40" t="s">
        <v>267</v>
      </c>
      <c r="P167" s="43">
        <v>45666</v>
      </c>
      <c r="Q167" s="42">
        <v>305.3</v>
      </c>
      <c r="R167" s="42">
        <v>315.76</v>
      </c>
      <c r="S167" s="42">
        <v>310.58999999999997</v>
      </c>
      <c r="T167" s="42">
        <v>-5.17</v>
      </c>
      <c r="U167" s="42">
        <v>-2.4</v>
      </c>
      <c r="V167" s="40" t="s">
        <v>267</v>
      </c>
      <c r="AF167" s="43">
        <v>45666</v>
      </c>
      <c r="AG167" s="42">
        <v>305.3</v>
      </c>
      <c r="AH167" s="42">
        <v>315.76</v>
      </c>
      <c r="AI167" s="42">
        <v>310.58999999999997</v>
      </c>
      <c r="AJ167" s="42">
        <v>-5.17</v>
      </c>
      <c r="AK167" s="42">
        <v>-2.4</v>
      </c>
      <c r="AL167" s="40" t="s">
        <v>267</v>
      </c>
    </row>
    <row r="168" spans="1:38" x14ac:dyDescent="0.35">
      <c r="A168" s="43">
        <v>45665</v>
      </c>
      <c r="B168" s="42">
        <v>306.5</v>
      </c>
      <c r="C168" s="42">
        <v>316.60000000000002</v>
      </c>
      <c r="D168" s="42">
        <v>311.55</v>
      </c>
      <c r="E168" s="42">
        <v>-5.05</v>
      </c>
      <c r="F168" s="42">
        <v>-2.25</v>
      </c>
      <c r="G168" s="40" t="s">
        <v>267</v>
      </c>
      <c r="P168" s="43">
        <v>45665</v>
      </c>
      <c r="Q168" s="42">
        <v>306.5</v>
      </c>
      <c r="R168" s="42">
        <v>316.60000000000002</v>
      </c>
      <c r="S168" s="42">
        <v>311.55</v>
      </c>
      <c r="T168" s="42">
        <v>-5.05</v>
      </c>
      <c r="U168" s="42">
        <v>-2.25</v>
      </c>
      <c r="V168" s="40" t="s">
        <v>267</v>
      </c>
      <c r="AF168" s="43">
        <v>45665</v>
      </c>
      <c r="AG168" s="42">
        <v>306.5</v>
      </c>
      <c r="AH168" s="42">
        <v>316.60000000000002</v>
      </c>
      <c r="AI168" s="42">
        <v>311.55</v>
      </c>
      <c r="AJ168" s="42">
        <v>-5.05</v>
      </c>
      <c r="AK168" s="42">
        <v>-2.25</v>
      </c>
      <c r="AL168" s="40" t="s">
        <v>267</v>
      </c>
    </row>
    <row r="169" spans="1:38" x14ac:dyDescent="0.35">
      <c r="A169" s="43">
        <v>45664</v>
      </c>
      <c r="B169" s="42">
        <v>305.2</v>
      </c>
      <c r="C169" s="42">
        <v>317.41000000000003</v>
      </c>
      <c r="D169" s="42">
        <v>312.47000000000003</v>
      </c>
      <c r="E169" s="42">
        <v>-4.9400000000000004</v>
      </c>
      <c r="F169" s="42">
        <v>-2.1</v>
      </c>
      <c r="G169" s="40" t="s">
        <v>267</v>
      </c>
      <c r="P169" s="43">
        <v>45664</v>
      </c>
      <c r="Q169" s="42">
        <v>305.2</v>
      </c>
      <c r="R169" s="42">
        <v>317.41000000000003</v>
      </c>
      <c r="S169" s="42">
        <v>312.47000000000003</v>
      </c>
      <c r="T169" s="42">
        <v>-4.9400000000000004</v>
      </c>
      <c r="U169" s="42">
        <v>-2.1</v>
      </c>
      <c r="V169" s="40" t="s">
        <v>267</v>
      </c>
      <c r="AF169" s="43">
        <v>45664</v>
      </c>
      <c r="AG169" s="42">
        <v>305.2</v>
      </c>
      <c r="AH169" s="42">
        <v>317.41000000000003</v>
      </c>
      <c r="AI169" s="42">
        <v>312.47000000000003</v>
      </c>
      <c r="AJ169" s="42">
        <v>-4.9400000000000004</v>
      </c>
      <c r="AK169" s="42">
        <v>-2.1</v>
      </c>
      <c r="AL169" s="40" t="s">
        <v>267</v>
      </c>
    </row>
    <row r="170" spans="1:38" x14ac:dyDescent="0.35">
      <c r="A170" s="43">
        <v>45663</v>
      </c>
      <c r="B170" s="42">
        <v>306.05</v>
      </c>
      <c r="C170" s="42">
        <v>318.38</v>
      </c>
      <c r="D170" s="42">
        <v>313.79000000000002</v>
      </c>
      <c r="E170" s="42">
        <v>-4.59</v>
      </c>
      <c r="F170" s="42">
        <v>-1.95</v>
      </c>
      <c r="G170" s="40" t="s">
        <v>267</v>
      </c>
      <c r="P170" s="43">
        <v>45663</v>
      </c>
      <c r="Q170" s="42">
        <v>306.05</v>
      </c>
      <c r="R170" s="42">
        <v>318.38</v>
      </c>
      <c r="S170" s="42">
        <v>313.79000000000002</v>
      </c>
      <c r="T170" s="42">
        <v>-4.59</v>
      </c>
      <c r="U170" s="42">
        <v>-1.95</v>
      </c>
      <c r="V170" s="40" t="s">
        <v>267</v>
      </c>
      <c r="AF170" s="43">
        <v>45663</v>
      </c>
      <c r="AG170" s="42">
        <v>306.05</v>
      </c>
      <c r="AH170" s="42">
        <v>318.38</v>
      </c>
      <c r="AI170" s="42">
        <v>313.79000000000002</v>
      </c>
      <c r="AJ170" s="42">
        <v>-4.59</v>
      </c>
      <c r="AK170" s="42">
        <v>-1.95</v>
      </c>
      <c r="AL170" s="40" t="s">
        <v>267</v>
      </c>
    </row>
    <row r="171" spans="1:38" x14ac:dyDescent="0.35">
      <c r="A171" s="43">
        <v>45660</v>
      </c>
      <c r="B171" s="42">
        <v>316.14999999999998</v>
      </c>
      <c r="C171" s="42">
        <v>319.37</v>
      </c>
      <c r="D171" s="42">
        <v>315.2</v>
      </c>
      <c r="E171" s="42">
        <v>-4.17</v>
      </c>
      <c r="F171" s="42">
        <v>-1.81</v>
      </c>
      <c r="G171" s="40" t="s">
        <v>267</v>
      </c>
      <c r="P171" s="43">
        <v>45660</v>
      </c>
      <c r="Q171" s="42">
        <v>316.14999999999998</v>
      </c>
      <c r="R171" s="42">
        <v>319.37</v>
      </c>
      <c r="S171" s="42">
        <v>315.2</v>
      </c>
      <c r="T171" s="42">
        <v>-4.17</v>
      </c>
      <c r="U171" s="42">
        <v>-1.81</v>
      </c>
      <c r="V171" s="40" t="s">
        <v>267</v>
      </c>
      <c r="AF171" s="43">
        <v>45660</v>
      </c>
      <c r="AG171" s="42">
        <v>316.14999999999998</v>
      </c>
      <c r="AH171" s="42">
        <v>319.37</v>
      </c>
      <c r="AI171" s="42">
        <v>315.2</v>
      </c>
      <c r="AJ171" s="42">
        <v>-4.17</v>
      </c>
      <c r="AK171" s="42">
        <v>-1.81</v>
      </c>
      <c r="AL171" s="40" t="s">
        <v>267</v>
      </c>
    </row>
    <row r="172" spans="1:38" x14ac:dyDescent="0.35">
      <c r="A172" s="43">
        <v>45659</v>
      </c>
      <c r="B172" s="42">
        <v>315.39999999999998</v>
      </c>
      <c r="C172" s="42">
        <v>319.63</v>
      </c>
      <c r="D172" s="42">
        <v>315.02</v>
      </c>
      <c r="E172" s="42">
        <v>-4.5999999999999996</v>
      </c>
      <c r="F172" s="42">
        <v>-1.68</v>
      </c>
      <c r="G172" s="40" t="s">
        <v>267</v>
      </c>
      <c r="P172" s="43">
        <v>45659</v>
      </c>
      <c r="Q172" s="42">
        <v>315.39999999999998</v>
      </c>
      <c r="R172" s="42">
        <v>319.63</v>
      </c>
      <c r="S172" s="42">
        <v>315.02</v>
      </c>
      <c r="T172" s="42">
        <v>-4.5999999999999996</v>
      </c>
      <c r="U172" s="42">
        <v>-1.68</v>
      </c>
      <c r="V172" s="40" t="s">
        <v>267</v>
      </c>
      <c r="AF172" s="43">
        <v>45659</v>
      </c>
      <c r="AG172" s="42">
        <v>315.39999999999998</v>
      </c>
      <c r="AH172" s="42">
        <v>319.63</v>
      </c>
      <c r="AI172" s="42">
        <v>315.02</v>
      </c>
      <c r="AJ172" s="42">
        <v>-4.5999999999999996</v>
      </c>
      <c r="AK172" s="42">
        <v>-1.68</v>
      </c>
      <c r="AL172" s="40" t="s">
        <v>267</v>
      </c>
    </row>
    <row r="173" spans="1:38" x14ac:dyDescent="0.35">
      <c r="A173" s="43">
        <v>45658</v>
      </c>
      <c r="B173" s="42">
        <v>310.5</v>
      </c>
      <c r="C173" s="42">
        <v>319.95999999999998</v>
      </c>
      <c r="D173" s="42">
        <v>314.95</v>
      </c>
      <c r="E173" s="42">
        <v>-5.01</v>
      </c>
      <c r="F173" s="42">
        <v>-1.52</v>
      </c>
      <c r="G173" s="40" t="s">
        <v>267</v>
      </c>
      <c r="P173" s="43">
        <v>45658</v>
      </c>
      <c r="Q173" s="42">
        <v>310.5</v>
      </c>
      <c r="R173" s="42">
        <v>319.95999999999998</v>
      </c>
      <c r="S173" s="42">
        <v>314.95</v>
      </c>
      <c r="T173" s="42">
        <v>-5.01</v>
      </c>
      <c r="U173" s="42">
        <v>-1.52</v>
      </c>
      <c r="V173" s="40" t="s">
        <v>267</v>
      </c>
      <c r="AF173" s="43">
        <v>45658</v>
      </c>
      <c r="AG173" s="42">
        <v>310.5</v>
      </c>
      <c r="AH173" s="42">
        <v>319.95999999999998</v>
      </c>
      <c r="AI173" s="42">
        <v>314.95</v>
      </c>
      <c r="AJ173" s="42">
        <v>-5.01</v>
      </c>
      <c r="AK173" s="42">
        <v>-1.52</v>
      </c>
      <c r="AL173" s="40" t="s">
        <v>267</v>
      </c>
    </row>
    <row r="174" spans="1:38" x14ac:dyDescent="0.35">
      <c r="A174" s="43">
        <v>45657</v>
      </c>
      <c r="B174" s="42">
        <v>308.60000000000002</v>
      </c>
      <c r="C174" s="42">
        <v>320.72000000000003</v>
      </c>
      <c r="D174" s="42">
        <v>315.76</v>
      </c>
      <c r="E174" s="42">
        <v>-4.96</v>
      </c>
      <c r="F174" s="42">
        <v>-1.33</v>
      </c>
      <c r="G174" s="40" t="s">
        <v>267</v>
      </c>
      <c r="P174" s="43">
        <v>45657</v>
      </c>
      <c r="Q174" s="42">
        <v>308.60000000000002</v>
      </c>
      <c r="R174" s="42">
        <v>320.72000000000003</v>
      </c>
      <c r="S174" s="42">
        <v>315.76</v>
      </c>
      <c r="T174" s="42">
        <v>-4.96</v>
      </c>
      <c r="U174" s="42">
        <v>-1.33</v>
      </c>
      <c r="V174" s="40" t="s">
        <v>267</v>
      </c>
      <c r="AF174" s="43">
        <v>45657</v>
      </c>
      <c r="AG174" s="42">
        <v>308.60000000000002</v>
      </c>
      <c r="AH174" s="42">
        <v>320.72000000000003</v>
      </c>
      <c r="AI174" s="42">
        <v>315.76</v>
      </c>
      <c r="AJ174" s="42">
        <v>-4.96</v>
      </c>
      <c r="AK174" s="42">
        <v>-1.33</v>
      </c>
      <c r="AL174" s="40" t="s">
        <v>267</v>
      </c>
    </row>
    <row r="175" spans="1:38" x14ac:dyDescent="0.35">
      <c r="A175" s="43">
        <v>45656</v>
      </c>
      <c r="B175" s="42">
        <v>308.35000000000002</v>
      </c>
      <c r="C175" s="42">
        <v>321.69</v>
      </c>
      <c r="D175" s="42">
        <v>317.07</v>
      </c>
      <c r="E175" s="42">
        <v>-4.63</v>
      </c>
      <c r="F175" s="42">
        <v>-1.1299999999999999</v>
      </c>
      <c r="G175" s="40" t="s">
        <v>267</v>
      </c>
      <c r="P175" s="43">
        <v>45656</v>
      </c>
      <c r="Q175" s="42">
        <v>308.35000000000002</v>
      </c>
      <c r="R175" s="42">
        <v>321.69</v>
      </c>
      <c r="S175" s="42">
        <v>317.07</v>
      </c>
      <c r="T175" s="42">
        <v>-4.63</v>
      </c>
      <c r="U175" s="42">
        <v>-1.1299999999999999</v>
      </c>
      <c r="V175" s="40" t="s">
        <v>267</v>
      </c>
      <c r="AF175" s="43">
        <v>45656</v>
      </c>
      <c r="AG175" s="42">
        <v>308.35000000000002</v>
      </c>
      <c r="AH175" s="42">
        <v>321.69</v>
      </c>
      <c r="AI175" s="42">
        <v>317.07</v>
      </c>
      <c r="AJ175" s="42">
        <v>-4.63</v>
      </c>
      <c r="AK175" s="42">
        <v>-1.1299999999999999</v>
      </c>
      <c r="AL175" s="40" t="s">
        <v>267</v>
      </c>
    </row>
    <row r="176" spans="1:38" x14ac:dyDescent="0.35">
      <c r="A176" s="43">
        <v>45653</v>
      </c>
      <c r="B176" s="42">
        <v>309.55</v>
      </c>
      <c r="C176" s="42">
        <v>322.76</v>
      </c>
      <c r="D176" s="42">
        <v>318.64999999999998</v>
      </c>
      <c r="E176" s="42">
        <v>-4.1100000000000003</v>
      </c>
      <c r="F176" s="42">
        <v>-0.95</v>
      </c>
      <c r="G176" s="40" t="s">
        <v>267</v>
      </c>
      <c r="P176" s="43">
        <v>45653</v>
      </c>
      <c r="Q176" s="42">
        <v>309.55</v>
      </c>
      <c r="R176" s="42">
        <v>322.76</v>
      </c>
      <c r="S176" s="42">
        <v>318.64999999999998</v>
      </c>
      <c r="T176" s="42">
        <v>-4.1100000000000003</v>
      </c>
      <c r="U176" s="42">
        <v>-0.95</v>
      </c>
      <c r="V176" s="40" t="s">
        <v>267</v>
      </c>
      <c r="AF176" s="43">
        <v>45653</v>
      </c>
      <c r="AG176" s="42">
        <v>309.55</v>
      </c>
      <c r="AH176" s="42">
        <v>322.76</v>
      </c>
      <c r="AI176" s="42">
        <v>318.64999999999998</v>
      </c>
      <c r="AJ176" s="42">
        <v>-4.1100000000000003</v>
      </c>
      <c r="AK176" s="42">
        <v>-0.95</v>
      </c>
      <c r="AL176" s="40" t="s">
        <v>267</v>
      </c>
    </row>
    <row r="177" spans="1:38" x14ac:dyDescent="0.35">
      <c r="A177" s="43">
        <v>45652</v>
      </c>
      <c r="B177" s="42">
        <v>310.35000000000002</v>
      </c>
      <c r="C177" s="42">
        <v>323.82</v>
      </c>
      <c r="D177" s="42">
        <v>320.3</v>
      </c>
      <c r="E177" s="42">
        <v>-3.51</v>
      </c>
      <c r="F177" s="42">
        <v>-0.77</v>
      </c>
      <c r="G177" s="40" t="s">
        <v>267</v>
      </c>
      <c r="P177" s="43">
        <v>45652</v>
      </c>
      <c r="Q177" s="42">
        <v>310.35000000000002</v>
      </c>
      <c r="R177" s="42">
        <v>323.82</v>
      </c>
      <c r="S177" s="42">
        <v>320.3</v>
      </c>
      <c r="T177" s="42">
        <v>-3.51</v>
      </c>
      <c r="U177" s="42">
        <v>-0.77</v>
      </c>
      <c r="V177" s="40" t="s">
        <v>267</v>
      </c>
      <c r="AF177" s="43">
        <v>45652</v>
      </c>
      <c r="AG177" s="42">
        <v>310.35000000000002</v>
      </c>
      <c r="AH177" s="42">
        <v>323.82</v>
      </c>
      <c r="AI177" s="42">
        <v>320.3</v>
      </c>
      <c r="AJ177" s="42">
        <v>-3.51</v>
      </c>
      <c r="AK177" s="42">
        <v>-0.77</v>
      </c>
      <c r="AL177" s="40" t="s">
        <v>267</v>
      </c>
    </row>
    <row r="178" spans="1:38" x14ac:dyDescent="0.35">
      <c r="A178" s="43">
        <v>45650</v>
      </c>
      <c r="B178" s="42">
        <v>310.14999999999998</v>
      </c>
      <c r="C178" s="42">
        <v>324.89</v>
      </c>
      <c r="D178" s="42">
        <v>322.11</v>
      </c>
      <c r="E178" s="42">
        <v>-2.78</v>
      </c>
      <c r="F178" s="42">
        <v>-0.63</v>
      </c>
      <c r="G178" s="40" t="s">
        <v>267</v>
      </c>
      <c r="P178" s="43">
        <v>45650</v>
      </c>
      <c r="Q178" s="42">
        <v>310.14999999999998</v>
      </c>
      <c r="R178" s="42">
        <v>324.89</v>
      </c>
      <c r="S178" s="42">
        <v>322.11</v>
      </c>
      <c r="T178" s="42">
        <v>-2.78</v>
      </c>
      <c r="U178" s="42">
        <v>-0.63</v>
      </c>
      <c r="V178" s="40" t="s">
        <v>267</v>
      </c>
      <c r="AF178" s="43">
        <v>45650</v>
      </c>
      <c r="AG178" s="42">
        <v>310.14999999999998</v>
      </c>
      <c r="AH178" s="42">
        <v>324.89</v>
      </c>
      <c r="AI178" s="42">
        <v>322.11</v>
      </c>
      <c r="AJ178" s="42">
        <v>-2.78</v>
      </c>
      <c r="AK178" s="42">
        <v>-0.63</v>
      </c>
      <c r="AL178" s="40" t="s">
        <v>267</v>
      </c>
    </row>
    <row r="179" spans="1:38" x14ac:dyDescent="0.35">
      <c r="A179" s="43">
        <v>45649</v>
      </c>
      <c r="B179" s="42">
        <v>315.25</v>
      </c>
      <c r="C179" s="42">
        <v>326.07</v>
      </c>
      <c r="D179" s="42">
        <v>324.29000000000002</v>
      </c>
      <c r="E179" s="42">
        <v>-1.78</v>
      </c>
      <c r="F179" s="42">
        <v>-0.51</v>
      </c>
      <c r="G179" s="40" t="s">
        <v>267</v>
      </c>
      <c r="P179" s="43">
        <v>45649</v>
      </c>
      <c r="Q179" s="42">
        <v>315.25</v>
      </c>
      <c r="R179" s="42">
        <v>326.07</v>
      </c>
      <c r="S179" s="42">
        <v>324.29000000000002</v>
      </c>
      <c r="T179" s="42">
        <v>-1.78</v>
      </c>
      <c r="U179" s="42">
        <v>-0.51</v>
      </c>
      <c r="V179" s="40" t="s">
        <v>267</v>
      </c>
      <c r="AF179" s="43">
        <v>45649</v>
      </c>
      <c r="AG179" s="42">
        <v>315.25</v>
      </c>
      <c r="AH179" s="42">
        <v>326.07</v>
      </c>
      <c r="AI179" s="42">
        <v>324.29000000000002</v>
      </c>
      <c r="AJ179" s="42">
        <v>-1.78</v>
      </c>
      <c r="AK179" s="42">
        <v>-0.51</v>
      </c>
      <c r="AL179" s="40" t="s">
        <v>267</v>
      </c>
    </row>
    <row r="180" spans="1:38" x14ac:dyDescent="0.35">
      <c r="A180" s="43">
        <v>45646</v>
      </c>
      <c r="B180" s="42">
        <v>315.75</v>
      </c>
      <c r="C180" s="42">
        <v>326.94</v>
      </c>
      <c r="D180" s="42">
        <v>325.93</v>
      </c>
      <c r="E180" s="42">
        <v>-1</v>
      </c>
      <c r="F180" s="42">
        <v>-0.44</v>
      </c>
      <c r="G180" s="40" t="s">
        <v>267</v>
      </c>
      <c r="P180" s="43">
        <v>45646</v>
      </c>
      <c r="Q180" s="42">
        <v>315.75</v>
      </c>
      <c r="R180" s="42">
        <v>326.94</v>
      </c>
      <c r="S180" s="42">
        <v>325.93</v>
      </c>
      <c r="T180" s="42">
        <v>-1</v>
      </c>
      <c r="U180" s="42">
        <v>-0.44</v>
      </c>
      <c r="V180" s="40" t="s">
        <v>267</v>
      </c>
      <c r="AF180" s="43">
        <v>45646</v>
      </c>
      <c r="AG180" s="42">
        <v>315.75</v>
      </c>
      <c r="AH180" s="42">
        <v>326.94</v>
      </c>
      <c r="AI180" s="42">
        <v>325.93</v>
      </c>
      <c r="AJ180" s="42">
        <v>-1</v>
      </c>
      <c r="AK180" s="42">
        <v>-0.44</v>
      </c>
      <c r="AL180" s="40" t="s">
        <v>267</v>
      </c>
    </row>
    <row r="181" spans="1:38" x14ac:dyDescent="0.35">
      <c r="A181" s="43">
        <v>45645</v>
      </c>
      <c r="B181" s="42">
        <v>321.85000000000002</v>
      </c>
      <c r="C181" s="42">
        <v>327.83</v>
      </c>
      <c r="D181" s="42">
        <v>327.79</v>
      </c>
      <c r="E181" s="42">
        <v>-0.05</v>
      </c>
      <c r="F181" s="42">
        <v>-0.41</v>
      </c>
      <c r="G181" s="40" t="s">
        <v>265</v>
      </c>
      <c r="P181" s="43">
        <v>45645</v>
      </c>
      <c r="Q181" s="42">
        <v>321.85000000000002</v>
      </c>
      <c r="R181" s="42">
        <v>327.83</v>
      </c>
      <c r="S181" s="42">
        <v>327.79</v>
      </c>
      <c r="T181" s="42">
        <v>-0.05</v>
      </c>
      <c r="U181" s="42">
        <v>-0.41</v>
      </c>
      <c r="V181" s="40" t="s">
        <v>265</v>
      </c>
      <c r="AF181" s="43">
        <v>45645</v>
      </c>
      <c r="AG181" s="42">
        <v>321.85000000000002</v>
      </c>
      <c r="AH181" s="42">
        <v>327.83</v>
      </c>
      <c r="AI181" s="42">
        <v>327.79</v>
      </c>
      <c r="AJ181" s="42">
        <v>-0.05</v>
      </c>
      <c r="AK181" s="42">
        <v>-0.41</v>
      </c>
      <c r="AL181" s="40" t="s">
        <v>265</v>
      </c>
    </row>
    <row r="182" spans="1:38" x14ac:dyDescent="0.35">
      <c r="A182" s="43">
        <v>45644</v>
      </c>
      <c r="B182" s="42">
        <v>321.55</v>
      </c>
      <c r="C182" s="42">
        <v>328.31</v>
      </c>
      <c r="D182" s="42">
        <v>328.86</v>
      </c>
      <c r="E182" s="42">
        <v>0.55000000000000004</v>
      </c>
      <c r="F182" s="42">
        <v>-0.43</v>
      </c>
      <c r="G182" s="40" t="s">
        <v>265</v>
      </c>
      <c r="P182" s="43">
        <v>45644</v>
      </c>
      <c r="Q182" s="42">
        <v>321.55</v>
      </c>
      <c r="R182" s="42">
        <v>328.31</v>
      </c>
      <c r="S182" s="42">
        <v>328.86</v>
      </c>
      <c r="T182" s="42">
        <v>0.55000000000000004</v>
      </c>
      <c r="U182" s="42">
        <v>-0.43</v>
      </c>
      <c r="V182" s="40" t="s">
        <v>265</v>
      </c>
      <c r="AF182" s="43">
        <v>45644</v>
      </c>
      <c r="AG182" s="42">
        <v>321.55</v>
      </c>
      <c r="AH182" s="42">
        <v>328.31</v>
      </c>
      <c r="AI182" s="42">
        <v>328.86</v>
      </c>
      <c r="AJ182" s="42">
        <v>0.55000000000000004</v>
      </c>
      <c r="AK182" s="42">
        <v>-0.43</v>
      </c>
      <c r="AL182" s="40" t="s">
        <v>265</v>
      </c>
    </row>
    <row r="183" spans="1:38" x14ac:dyDescent="0.35">
      <c r="A183" s="43">
        <v>45643</v>
      </c>
      <c r="B183" s="42">
        <v>330</v>
      </c>
      <c r="C183" s="42">
        <v>328.85</v>
      </c>
      <c r="D183" s="42">
        <v>330.19</v>
      </c>
      <c r="E183" s="42">
        <v>1.34</v>
      </c>
      <c r="F183" s="42">
        <v>-0.48</v>
      </c>
      <c r="G183" s="40" t="s">
        <v>265</v>
      </c>
      <c r="P183" s="43">
        <v>45643</v>
      </c>
      <c r="Q183" s="42">
        <v>330</v>
      </c>
      <c r="R183" s="42">
        <v>328.85</v>
      </c>
      <c r="S183" s="42">
        <v>330.19</v>
      </c>
      <c r="T183" s="42">
        <v>1.34</v>
      </c>
      <c r="U183" s="42">
        <v>-0.48</v>
      </c>
      <c r="V183" s="40" t="s">
        <v>265</v>
      </c>
      <c r="AF183" s="43">
        <v>45643</v>
      </c>
      <c r="AG183" s="42">
        <v>330</v>
      </c>
      <c r="AH183" s="42">
        <v>328.85</v>
      </c>
      <c r="AI183" s="42">
        <v>330.19</v>
      </c>
      <c r="AJ183" s="42">
        <v>1.34</v>
      </c>
      <c r="AK183" s="42">
        <v>-0.48</v>
      </c>
      <c r="AL183" s="40" t="s">
        <v>265</v>
      </c>
    </row>
    <row r="184" spans="1:38" x14ac:dyDescent="0.35">
      <c r="A184" s="43">
        <v>45642</v>
      </c>
      <c r="B184" s="42">
        <v>334.8</v>
      </c>
      <c r="C184" s="42">
        <v>328.76</v>
      </c>
      <c r="D184" s="42">
        <v>330.23</v>
      </c>
      <c r="E184" s="42">
        <v>1.47</v>
      </c>
      <c r="F184" s="42">
        <v>-0.57999999999999996</v>
      </c>
      <c r="G184" s="40" t="s">
        <v>265</v>
      </c>
      <c r="P184" s="43">
        <v>45642</v>
      </c>
      <c r="Q184" s="42">
        <v>334.8</v>
      </c>
      <c r="R184" s="42">
        <v>328.76</v>
      </c>
      <c r="S184" s="42">
        <v>330.23</v>
      </c>
      <c r="T184" s="42">
        <v>1.47</v>
      </c>
      <c r="U184" s="42">
        <v>-0.57999999999999996</v>
      </c>
      <c r="V184" s="40" t="s">
        <v>265</v>
      </c>
      <c r="AF184" s="43">
        <v>45642</v>
      </c>
      <c r="AG184" s="42">
        <v>334.8</v>
      </c>
      <c r="AH184" s="42">
        <v>328.76</v>
      </c>
      <c r="AI184" s="42">
        <v>330.23</v>
      </c>
      <c r="AJ184" s="42">
        <v>1.47</v>
      </c>
      <c r="AK184" s="42">
        <v>-0.57999999999999996</v>
      </c>
      <c r="AL184" s="40" t="s">
        <v>265</v>
      </c>
    </row>
    <row r="185" spans="1:38" x14ac:dyDescent="0.35">
      <c r="A185" s="43">
        <v>45639</v>
      </c>
      <c r="B185" s="42">
        <v>334</v>
      </c>
      <c r="C185" s="42">
        <v>328.28</v>
      </c>
      <c r="D185" s="42">
        <v>329.4</v>
      </c>
      <c r="E185" s="42">
        <v>1.1200000000000001</v>
      </c>
      <c r="F185" s="42">
        <v>-0.69</v>
      </c>
      <c r="G185" s="40" t="s">
        <v>265</v>
      </c>
      <c r="P185" s="43">
        <v>45639</v>
      </c>
      <c r="Q185" s="42">
        <v>334</v>
      </c>
      <c r="R185" s="42">
        <v>328.28</v>
      </c>
      <c r="S185" s="42">
        <v>329.4</v>
      </c>
      <c r="T185" s="42">
        <v>1.1200000000000001</v>
      </c>
      <c r="U185" s="42">
        <v>-0.69</v>
      </c>
      <c r="V185" s="40" t="s">
        <v>265</v>
      </c>
      <c r="AF185" s="43">
        <v>45639</v>
      </c>
      <c r="AG185" s="42">
        <v>334</v>
      </c>
      <c r="AH185" s="42">
        <v>328.28</v>
      </c>
      <c r="AI185" s="42">
        <v>329.4</v>
      </c>
      <c r="AJ185" s="42">
        <v>1.1200000000000001</v>
      </c>
      <c r="AK185" s="42">
        <v>-0.69</v>
      </c>
      <c r="AL185" s="40" t="s">
        <v>265</v>
      </c>
    </row>
    <row r="186" spans="1:38" x14ac:dyDescent="0.35">
      <c r="A186" s="43">
        <v>45638</v>
      </c>
      <c r="B186" s="42">
        <v>329</v>
      </c>
      <c r="C186" s="42">
        <v>327.82</v>
      </c>
      <c r="D186" s="42">
        <v>328.56</v>
      </c>
      <c r="E186" s="42">
        <v>0.74</v>
      </c>
      <c r="F186" s="42">
        <v>-0.79</v>
      </c>
      <c r="G186" s="40" t="s">
        <v>265</v>
      </c>
      <c r="P186" s="43">
        <v>45638</v>
      </c>
      <c r="Q186" s="42">
        <v>329</v>
      </c>
      <c r="R186" s="42">
        <v>327.82</v>
      </c>
      <c r="S186" s="42">
        <v>328.56</v>
      </c>
      <c r="T186" s="42">
        <v>0.74</v>
      </c>
      <c r="U186" s="42">
        <v>-0.79</v>
      </c>
      <c r="V186" s="40" t="s">
        <v>265</v>
      </c>
      <c r="AF186" s="43">
        <v>45638</v>
      </c>
      <c r="AG186" s="42">
        <v>329</v>
      </c>
      <c r="AH186" s="42">
        <v>327.82</v>
      </c>
      <c r="AI186" s="42">
        <v>328.56</v>
      </c>
      <c r="AJ186" s="42">
        <v>0.74</v>
      </c>
      <c r="AK186" s="42">
        <v>-0.79</v>
      </c>
      <c r="AL186" s="40" t="s">
        <v>265</v>
      </c>
    </row>
    <row r="187" spans="1:38" x14ac:dyDescent="0.35">
      <c r="A187" s="43">
        <v>45637</v>
      </c>
      <c r="B187" s="42">
        <v>327.5</v>
      </c>
      <c r="C187" s="42">
        <v>327.73</v>
      </c>
      <c r="D187" s="42">
        <v>328.48</v>
      </c>
      <c r="E187" s="42">
        <v>0.76</v>
      </c>
      <c r="F187" s="42">
        <v>-0.87</v>
      </c>
      <c r="G187" s="40" t="s">
        <v>265</v>
      </c>
      <c r="P187" s="43">
        <v>45637</v>
      </c>
      <c r="Q187" s="42">
        <v>327.5</v>
      </c>
      <c r="R187" s="42">
        <v>327.73</v>
      </c>
      <c r="S187" s="42">
        <v>328.48</v>
      </c>
      <c r="T187" s="42">
        <v>0.76</v>
      </c>
      <c r="U187" s="42">
        <v>-0.87</v>
      </c>
      <c r="V187" s="40" t="s">
        <v>265</v>
      </c>
      <c r="AF187" s="43">
        <v>45637</v>
      </c>
      <c r="AG187" s="42">
        <v>327.5</v>
      </c>
      <c r="AH187" s="42">
        <v>327.73</v>
      </c>
      <c r="AI187" s="42">
        <v>328.48</v>
      </c>
      <c r="AJ187" s="42">
        <v>0.76</v>
      </c>
      <c r="AK187" s="42">
        <v>-0.87</v>
      </c>
      <c r="AL187" s="40" t="s">
        <v>265</v>
      </c>
    </row>
    <row r="188" spans="1:38" x14ac:dyDescent="0.35">
      <c r="A188" s="43">
        <v>45636</v>
      </c>
      <c r="B188" s="42">
        <v>327.85</v>
      </c>
      <c r="C188" s="42">
        <v>327.74</v>
      </c>
      <c r="D188" s="42">
        <v>328.66</v>
      </c>
      <c r="E188" s="42">
        <v>0.92</v>
      </c>
      <c r="F188" s="42">
        <v>-0.96</v>
      </c>
      <c r="G188" s="40" t="s">
        <v>265</v>
      </c>
      <c r="P188" s="43">
        <v>45636</v>
      </c>
      <c r="Q188" s="42">
        <v>327.85</v>
      </c>
      <c r="R188" s="42">
        <v>327.74</v>
      </c>
      <c r="S188" s="42">
        <v>328.66</v>
      </c>
      <c r="T188" s="42">
        <v>0.92</v>
      </c>
      <c r="U188" s="42">
        <v>-0.96</v>
      </c>
      <c r="V188" s="40" t="s">
        <v>265</v>
      </c>
      <c r="AF188" s="43">
        <v>45636</v>
      </c>
      <c r="AG188" s="42">
        <v>327.85</v>
      </c>
      <c r="AH188" s="42">
        <v>327.74</v>
      </c>
      <c r="AI188" s="42">
        <v>328.66</v>
      </c>
      <c r="AJ188" s="42">
        <v>0.92</v>
      </c>
      <c r="AK188" s="42">
        <v>-0.96</v>
      </c>
      <c r="AL188" s="40" t="s">
        <v>265</v>
      </c>
    </row>
    <row r="189" spans="1:38" x14ac:dyDescent="0.35">
      <c r="A189" s="43">
        <v>45635</v>
      </c>
      <c r="B189" s="42">
        <v>329.1</v>
      </c>
      <c r="C189" s="42">
        <v>327.74</v>
      </c>
      <c r="D189" s="42">
        <v>328.81</v>
      </c>
      <c r="E189" s="42">
        <v>1.07</v>
      </c>
      <c r="F189" s="42">
        <v>-1.06</v>
      </c>
      <c r="G189" s="40" t="s">
        <v>265</v>
      </c>
      <c r="P189" s="43">
        <v>45635</v>
      </c>
      <c r="Q189" s="42">
        <v>329.1</v>
      </c>
      <c r="R189" s="42">
        <v>327.74</v>
      </c>
      <c r="S189" s="42">
        <v>328.81</v>
      </c>
      <c r="T189" s="42">
        <v>1.07</v>
      </c>
      <c r="U189" s="42">
        <v>-1.06</v>
      </c>
      <c r="V189" s="40" t="s">
        <v>265</v>
      </c>
      <c r="AF189" s="43">
        <v>45635</v>
      </c>
      <c r="AG189" s="42">
        <v>329.1</v>
      </c>
      <c r="AH189" s="42">
        <v>327.74</v>
      </c>
      <c r="AI189" s="42">
        <v>328.81</v>
      </c>
      <c r="AJ189" s="42">
        <v>1.07</v>
      </c>
      <c r="AK189" s="42">
        <v>-1.06</v>
      </c>
      <c r="AL189" s="40" t="s">
        <v>265</v>
      </c>
    </row>
    <row r="190" spans="1:38" x14ac:dyDescent="0.35">
      <c r="A190" s="43">
        <v>45632</v>
      </c>
      <c r="B190" s="42">
        <v>328.95</v>
      </c>
      <c r="C190" s="42">
        <v>327.63</v>
      </c>
      <c r="D190" s="42">
        <v>328.76</v>
      </c>
      <c r="E190" s="42">
        <v>1.1299999999999999</v>
      </c>
      <c r="F190" s="42">
        <v>-1.18</v>
      </c>
      <c r="G190" s="40" t="s">
        <v>265</v>
      </c>
      <c r="P190" s="43">
        <v>45632</v>
      </c>
      <c r="Q190" s="42">
        <v>328.95</v>
      </c>
      <c r="R190" s="42">
        <v>327.63</v>
      </c>
      <c r="S190" s="42">
        <v>328.76</v>
      </c>
      <c r="T190" s="42">
        <v>1.1299999999999999</v>
      </c>
      <c r="U190" s="42">
        <v>-1.18</v>
      </c>
      <c r="V190" s="40" t="s">
        <v>265</v>
      </c>
      <c r="AF190" s="43">
        <v>45632</v>
      </c>
      <c r="AG190" s="42">
        <v>328.95</v>
      </c>
      <c r="AH190" s="42">
        <v>327.63</v>
      </c>
      <c r="AI190" s="42">
        <v>328.76</v>
      </c>
      <c r="AJ190" s="42">
        <v>1.1299999999999999</v>
      </c>
      <c r="AK190" s="42">
        <v>-1.18</v>
      </c>
      <c r="AL190" s="40" t="s">
        <v>265</v>
      </c>
    </row>
    <row r="191" spans="1:38" x14ac:dyDescent="0.35">
      <c r="A191" s="43">
        <v>45631</v>
      </c>
      <c r="B191" s="42">
        <v>328.6</v>
      </c>
      <c r="C191" s="42">
        <v>327.52</v>
      </c>
      <c r="D191" s="42">
        <v>328.72</v>
      </c>
      <c r="E191" s="42">
        <v>1.2</v>
      </c>
      <c r="F191" s="42">
        <v>-1.3</v>
      </c>
      <c r="G191" s="40" t="s">
        <v>265</v>
      </c>
      <c r="P191" s="43">
        <v>45631</v>
      </c>
      <c r="Q191" s="42">
        <v>328.6</v>
      </c>
      <c r="R191" s="42">
        <v>327.52</v>
      </c>
      <c r="S191" s="42">
        <v>328.72</v>
      </c>
      <c r="T191" s="42">
        <v>1.2</v>
      </c>
      <c r="U191" s="42">
        <v>-1.3</v>
      </c>
      <c r="V191" s="40" t="s">
        <v>265</v>
      </c>
      <c r="AF191" s="43">
        <v>45631</v>
      </c>
      <c r="AG191" s="42">
        <v>328.6</v>
      </c>
      <c r="AH191" s="42">
        <v>327.52</v>
      </c>
      <c r="AI191" s="42">
        <v>328.72</v>
      </c>
      <c r="AJ191" s="42">
        <v>1.2</v>
      </c>
      <c r="AK191" s="42">
        <v>-1.3</v>
      </c>
      <c r="AL191" s="40" t="s">
        <v>265</v>
      </c>
    </row>
    <row r="192" spans="1:38" x14ac:dyDescent="0.35">
      <c r="A192" s="43">
        <v>45630</v>
      </c>
      <c r="B192" s="42">
        <v>325</v>
      </c>
      <c r="C192" s="42">
        <v>327.43</v>
      </c>
      <c r="D192" s="42">
        <v>328.74</v>
      </c>
      <c r="E192" s="42">
        <v>1.31</v>
      </c>
      <c r="F192" s="42">
        <v>-1.44</v>
      </c>
      <c r="G192" s="40" t="s">
        <v>265</v>
      </c>
      <c r="P192" s="43">
        <v>45630</v>
      </c>
      <c r="Q192" s="42">
        <v>325</v>
      </c>
      <c r="R192" s="42">
        <v>327.43</v>
      </c>
      <c r="S192" s="42">
        <v>328.74</v>
      </c>
      <c r="T192" s="42">
        <v>1.31</v>
      </c>
      <c r="U192" s="42">
        <v>-1.44</v>
      </c>
      <c r="V192" s="40" t="s">
        <v>265</v>
      </c>
      <c r="AF192" s="43">
        <v>45630</v>
      </c>
      <c r="AG192" s="42">
        <v>325</v>
      </c>
      <c r="AH192" s="42">
        <v>327.43</v>
      </c>
      <c r="AI192" s="42">
        <v>328.74</v>
      </c>
      <c r="AJ192" s="42">
        <v>1.31</v>
      </c>
      <c r="AK192" s="42">
        <v>-1.44</v>
      </c>
      <c r="AL192" s="40" t="s">
        <v>265</v>
      </c>
    </row>
    <row r="193" spans="1:38" x14ac:dyDescent="0.35">
      <c r="A193" s="43">
        <v>45629</v>
      </c>
      <c r="B193" s="42">
        <v>329.75</v>
      </c>
      <c r="C193" s="42">
        <v>327.63</v>
      </c>
      <c r="D193" s="42">
        <v>329.42</v>
      </c>
      <c r="E193" s="42">
        <v>1.79</v>
      </c>
      <c r="F193" s="42">
        <v>-1.59</v>
      </c>
      <c r="G193" s="40" t="s">
        <v>265</v>
      </c>
      <c r="P193" s="43">
        <v>45629</v>
      </c>
      <c r="Q193" s="42">
        <v>329.75</v>
      </c>
      <c r="R193" s="42">
        <v>327.63</v>
      </c>
      <c r="S193" s="42">
        <v>329.42</v>
      </c>
      <c r="T193" s="42">
        <v>1.79</v>
      </c>
      <c r="U193" s="42">
        <v>-1.59</v>
      </c>
      <c r="V193" s="40" t="s">
        <v>265</v>
      </c>
      <c r="AF193" s="43">
        <v>45629</v>
      </c>
      <c r="AG193" s="42">
        <v>329.75</v>
      </c>
      <c r="AH193" s="42">
        <v>327.63</v>
      </c>
      <c r="AI193" s="42">
        <v>329.42</v>
      </c>
      <c r="AJ193" s="42">
        <v>1.79</v>
      </c>
      <c r="AK193" s="42">
        <v>-1.59</v>
      </c>
      <c r="AL193" s="40" t="s">
        <v>265</v>
      </c>
    </row>
    <row r="194" spans="1:38" x14ac:dyDescent="0.35">
      <c r="A194" s="43">
        <v>45628</v>
      </c>
      <c r="B194" s="42">
        <v>328</v>
      </c>
      <c r="C194" s="42">
        <v>327.45999999999998</v>
      </c>
      <c r="D194" s="42">
        <v>329.36</v>
      </c>
      <c r="E194" s="42">
        <v>1.9</v>
      </c>
      <c r="F194" s="42">
        <v>-1.77</v>
      </c>
      <c r="G194" s="40" t="s">
        <v>265</v>
      </c>
      <c r="P194" s="43">
        <v>45628</v>
      </c>
      <c r="Q194" s="42">
        <v>328</v>
      </c>
      <c r="R194" s="42">
        <v>327.45999999999998</v>
      </c>
      <c r="S194" s="42">
        <v>329.36</v>
      </c>
      <c r="T194" s="42">
        <v>1.9</v>
      </c>
      <c r="U194" s="42">
        <v>-1.77</v>
      </c>
      <c r="V194" s="40" t="s">
        <v>265</v>
      </c>
      <c r="AF194" s="43">
        <v>45628</v>
      </c>
      <c r="AG194" s="42">
        <v>328</v>
      </c>
      <c r="AH194" s="42">
        <v>327.45999999999998</v>
      </c>
      <c r="AI194" s="42">
        <v>329.36</v>
      </c>
      <c r="AJ194" s="42">
        <v>1.9</v>
      </c>
      <c r="AK194" s="42">
        <v>-1.77</v>
      </c>
      <c r="AL194" s="40" t="s">
        <v>265</v>
      </c>
    </row>
    <row r="195" spans="1:38" x14ac:dyDescent="0.35">
      <c r="A195" s="43">
        <v>45625</v>
      </c>
      <c r="B195" s="42">
        <v>329.6</v>
      </c>
      <c r="C195" s="42">
        <v>327.42</v>
      </c>
      <c r="D195" s="42">
        <v>329.61</v>
      </c>
      <c r="E195" s="42">
        <v>2.19</v>
      </c>
      <c r="F195" s="42">
        <v>-1.97</v>
      </c>
      <c r="G195" s="40" t="s">
        <v>265</v>
      </c>
      <c r="P195" s="43">
        <v>45625</v>
      </c>
      <c r="Q195" s="42">
        <v>329.6</v>
      </c>
      <c r="R195" s="42">
        <v>327.42</v>
      </c>
      <c r="S195" s="42">
        <v>329.61</v>
      </c>
      <c r="T195" s="42">
        <v>2.19</v>
      </c>
      <c r="U195" s="42">
        <v>-1.97</v>
      </c>
      <c r="V195" s="40" t="s">
        <v>265</v>
      </c>
      <c r="AF195" s="43">
        <v>45625</v>
      </c>
      <c r="AG195" s="42">
        <v>329.6</v>
      </c>
      <c r="AH195" s="42">
        <v>327.42</v>
      </c>
      <c r="AI195" s="42">
        <v>329.61</v>
      </c>
      <c r="AJ195" s="42">
        <v>2.19</v>
      </c>
      <c r="AK195" s="42">
        <v>-1.97</v>
      </c>
      <c r="AL195" s="40" t="s">
        <v>265</v>
      </c>
    </row>
    <row r="196" spans="1:38" x14ac:dyDescent="0.35">
      <c r="A196" s="43">
        <v>45624</v>
      </c>
      <c r="B196" s="42">
        <v>333.7</v>
      </c>
      <c r="C196" s="42">
        <v>327.24</v>
      </c>
      <c r="D196" s="42">
        <v>329.61</v>
      </c>
      <c r="E196" s="42">
        <v>2.37</v>
      </c>
      <c r="F196" s="42">
        <v>-2.19</v>
      </c>
      <c r="G196" s="40" t="s">
        <v>265</v>
      </c>
      <c r="P196" s="43">
        <v>45624</v>
      </c>
      <c r="Q196" s="42">
        <v>333.7</v>
      </c>
      <c r="R196" s="42">
        <v>327.24</v>
      </c>
      <c r="S196" s="42">
        <v>329.61</v>
      </c>
      <c r="T196" s="42">
        <v>2.37</v>
      </c>
      <c r="U196" s="42">
        <v>-2.19</v>
      </c>
      <c r="V196" s="40" t="s">
        <v>265</v>
      </c>
      <c r="AF196" s="43">
        <v>45624</v>
      </c>
      <c r="AG196" s="42">
        <v>333.7</v>
      </c>
      <c r="AH196" s="42">
        <v>327.24</v>
      </c>
      <c r="AI196" s="42">
        <v>329.61</v>
      </c>
      <c r="AJ196" s="42">
        <v>2.37</v>
      </c>
      <c r="AK196" s="42">
        <v>-2.19</v>
      </c>
      <c r="AL196" s="40" t="s">
        <v>265</v>
      </c>
    </row>
    <row r="197" spans="1:38" x14ac:dyDescent="0.35">
      <c r="A197" s="43">
        <v>45623</v>
      </c>
      <c r="B197" s="42">
        <v>339</v>
      </c>
      <c r="C197" s="42">
        <v>326.73</v>
      </c>
      <c r="D197" s="42">
        <v>328.87</v>
      </c>
      <c r="E197" s="42">
        <v>2.14</v>
      </c>
      <c r="F197" s="42">
        <v>-2.44</v>
      </c>
      <c r="G197" s="40" t="s">
        <v>265</v>
      </c>
      <c r="P197" s="43">
        <v>45623</v>
      </c>
      <c r="Q197" s="42">
        <v>339</v>
      </c>
      <c r="R197" s="42">
        <v>326.73</v>
      </c>
      <c r="S197" s="42">
        <v>328.87</v>
      </c>
      <c r="T197" s="42">
        <v>2.14</v>
      </c>
      <c r="U197" s="42">
        <v>-2.44</v>
      </c>
      <c r="V197" s="40" t="s">
        <v>265</v>
      </c>
      <c r="AF197" s="43">
        <v>45623</v>
      </c>
      <c r="AG197" s="42">
        <v>339</v>
      </c>
      <c r="AH197" s="42">
        <v>326.73</v>
      </c>
      <c r="AI197" s="42">
        <v>328.87</v>
      </c>
      <c r="AJ197" s="42">
        <v>2.14</v>
      </c>
      <c r="AK197" s="42">
        <v>-2.44</v>
      </c>
      <c r="AL197" s="40" t="s">
        <v>265</v>
      </c>
    </row>
    <row r="198" spans="1:38" x14ac:dyDescent="0.35">
      <c r="A198" s="43">
        <v>45622</v>
      </c>
      <c r="B198" s="42">
        <v>338.7</v>
      </c>
      <c r="C198" s="42">
        <v>325.74</v>
      </c>
      <c r="D198" s="42">
        <v>327.02999999999997</v>
      </c>
      <c r="E198" s="42">
        <v>1.29</v>
      </c>
      <c r="F198" s="42">
        <v>-2.69</v>
      </c>
      <c r="G198" s="40" t="s">
        <v>265</v>
      </c>
      <c r="P198" s="43">
        <v>45622</v>
      </c>
      <c r="Q198" s="42">
        <v>338.7</v>
      </c>
      <c r="R198" s="42">
        <v>325.74</v>
      </c>
      <c r="S198" s="42">
        <v>327.02999999999997</v>
      </c>
      <c r="T198" s="42">
        <v>1.29</v>
      </c>
      <c r="U198" s="42">
        <v>-2.69</v>
      </c>
      <c r="V198" s="40" t="s">
        <v>265</v>
      </c>
      <c r="AF198" s="43">
        <v>45622</v>
      </c>
      <c r="AG198" s="42">
        <v>338.7</v>
      </c>
      <c r="AH198" s="42">
        <v>325.74</v>
      </c>
      <c r="AI198" s="42">
        <v>327.02999999999997</v>
      </c>
      <c r="AJ198" s="42">
        <v>1.29</v>
      </c>
      <c r="AK198" s="42">
        <v>-2.69</v>
      </c>
      <c r="AL198" s="40" t="s">
        <v>265</v>
      </c>
    </row>
    <row r="199" spans="1:38" x14ac:dyDescent="0.35">
      <c r="A199" s="43">
        <v>45621</v>
      </c>
      <c r="B199" s="42">
        <v>342.85</v>
      </c>
      <c r="C199" s="42">
        <v>324.70999999999998</v>
      </c>
      <c r="D199" s="42">
        <v>324.91000000000003</v>
      </c>
      <c r="E199" s="42">
        <v>0.2</v>
      </c>
      <c r="F199" s="42">
        <v>-2.9</v>
      </c>
      <c r="G199" s="40" t="s">
        <v>265</v>
      </c>
      <c r="P199" s="43">
        <v>45621</v>
      </c>
      <c r="Q199" s="42">
        <v>342.85</v>
      </c>
      <c r="R199" s="42">
        <v>324.70999999999998</v>
      </c>
      <c r="S199" s="42">
        <v>324.91000000000003</v>
      </c>
      <c r="T199" s="42">
        <v>0.2</v>
      </c>
      <c r="U199" s="42">
        <v>-2.9</v>
      </c>
      <c r="V199" s="40" t="s">
        <v>265</v>
      </c>
      <c r="AF199" s="43">
        <v>45621</v>
      </c>
      <c r="AG199" s="42">
        <v>342.85</v>
      </c>
      <c r="AH199" s="42">
        <v>324.70999999999998</v>
      </c>
      <c r="AI199" s="42">
        <v>324.91000000000003</v>
      </c>
      <c r="AJ199" s="42">
        <v>0.2</v>
      </c>
      <c r="AK199" s="42">
        <v>-2.9</v>
      </c>
      <c r="AL199" s="40" t="s">
        <v>265</v>
      </c>
    </row>
    <row r="200" spans="1:38" x14ac:dyDescent="0.35">
      <c r="A200" s="43">
        <v>45618</v>
      </c>
      <c r="B200" s="42">
        <v>337</v>
      </c>
      <c r="C200" s="42">
        <v>323.26</v>
      </c>
      <c r="D200" s="42">
        <v>321.64</v>
      </c>
      <c r="E200" s="42">
        <v>-1.61</v>
      </c>
      <c r="F200" s="42">
        <v>-3.07</v>
      </c>
      <c r="G200" s="40" t="s">
        <v>265</v>
      </c>
      <c r="P200" s="43">
        <v>45618</v>
      </c>
      <c r="Q200" s="42">
        <v>337</v>
      </c>
      <c r="R200" s="42">
        <v>323.26</v>
      </c>
      <c r="S200" s="42">
        <v>321.64</v>
      </c>
      <c r="T200" s="42">
        <v>-1.61</v>
      </c>
      <c r="U200" s="42">
        <v>-3.07</v>
      </c>
      <c r="V200" s="40" t="s">
        <v>265</v>
      </c>
      <c r="AF200" s="43">
        <v>45618</v>
      </c>
      <c r="AG200" s="42">
        <v>337</v>
      </c>
      <c r="AH200" s="42">
        <v>323.26</v>
      </c>
      <c r="AI200" s="42">
        <v>321.64</v>
      </c>
      <c r="AJ200" s="42">
        <v>-1.61</v>
      </c>
      <c r="AK200" s="42">
        <v>-3.07</v>
      </c>
      <c r="AL200" s="40" t="s">
        <v>265</v>
      </c>
    </row>
    <row r="201" spans="1:38" x14ac:dyDescent="0.35">
      <c r="A201" s="43">
        <v>45617</v>
      </c>
      <c r="B201" s="42">
        <v>325.8</v>
      </c>
      <c r="C201" s="42">
        <v>322.16000000000003</v>
      </c>
      <c r="D201" s="42">
        <v>318.85000000000002</v>
      </c>
      <c r="E201" s="42">
        <v>-3.3</v>
      </c>
      <c r="F201" s="42">
        <v>-3.15</v>
      </c>
      <c r="G201" s="40" t="s">
        <v>267</v>
      </c>
      <c r="P201" s="43">
        <v>45617</v>
      </c>
      <c r="Q201" s="42">
        <v>325.8</v>
      </c>
      <c r="R201" s="42">
        <v>322.16000000000003</v>
      </c>
      <c r="S201" s="42">
        <v>318.85000000000002</v>
      </c>
      <c r="T201" s="42">
        <v>-3.3</v>
      </c>
      <c r="U201" s="42">
        <v>-3.15</v>
      </c>
      <c r="V201" s="40" t="s">
        <v>267</v>
      </c>
      <c r="AF201" s="43">
        <v>45617</v>
      </c>
      <c r="AG201" s="42">
        <v>325.8</v>
      </c>
      <c r="AH201" s="42">
        <v>322.16000000000003</v>
      </c>
      <c r="AI201" s="42">
        <v>318.85000000000002</v>
      </c>
      <c r="AJ201" s="42">
        <v>-3.3</v>
      </c>
      <c r="AK201" s="42">
        <v>-3.15</v>
      </c>
      <c r="AL201" s="40" t="s">
        <v>267</v>
      </c>
    </row>
    <row r="202" spans="1:38" x14ac:dyDescent="0.35">
      <c r="A202" s="43">
        <v>45615</v>
      </c>
      <c r="B202" s="42">
        <v>315.05</v>
      </c>
      <c r="C202" s="42">
        <v>321.86</v>
      </c>
      <c r="D202" s="42">
        <v>317.58999999999997</v>
      </c>
      <c r="E202" s="42">
        <v>-4.28</v>
      </c>
      <c r="F202" s="42">
        <v>-3.14</v>
      </c>
      <c r="G202" s="40" t="s">
        <v>267</v>
      </c>
      <c r="P202" s="43">
        <v>45615</v>
      </c>
      <c r="Q202" s="42">
        <v>315.05</v>
      </c>
      <c r="R202" s="42">
        <v>321.86</v>
      </c>
      <c r="S202" s="42">
        <v>317.58999999999997</v>
      </c>
      <c r="T202" s="42">
        <v>-4.28</v>
      </c>
      <c r="U202" s="42">
        <v>-3.14</v>
      </c>
      <c r="V202" s="40" t="s">
        <v>267</v>
      </c>
      <c r="AF202" s="43">
        <v>45615</v>
      </c>
      <c r="AG202" s="42">
        <v>315.05</v>
      </c>
      <c r="AH202" s="42">
        <v>321.86</v>
      </c>
      <c r="AI202" s="42">
        <v>317.58999999999997</v>
      </c>
      <c r="AJ202" s="42">
        <v>-4.28</v>
      </c>
      <c r="AK202" s="42">
        <v>-3.14</v>
      </c>
      <c r="AL202" s="40" t="s">
        <v>267</v>
      </c>
    </row>
    <row r="203" spans="1:38" x14ac:dyDescent="0.35">
      <c r="A203" s="43">
        <v>45614</v>
      </c>
      <c r="B203" s="42">
        <v>311.95</v>
      </c>
      <c r="C203" s="42">
        <v>322.41000000000003</v>
      </c>
      <c r="D203" s="42">
        <v>318.05</v>
      </c>
      <c r="E203" s="42">
        <v>-4.3600000000000003</v>
      </c>
      <c r="F203" s="42">
        <v>-3.08</v>
      </c>
      <c r="G203" s="40" t="s">
        <v>267</v>
      </c>
      <c r="P203" s="43">
        <v>45614</v>
      </c>
      <c r="Q203" s="42">
        <v>311.95</v>
      </c>
      <c r="R203" s="42">
        <v>322.41000000000003</v>
      </c>
      <c r="S203" s="42">
        <v>318.05</v>
      </c>
      <c r="T203" s="42">
        <v>-4.3600000000000003</v>
      </c>
      <c r="U203" s="42">
        <v>-3.08</v>
      </c>
      <c r="V203" s="40" t="s">
        <v>267</v>
      </c>
      <c r="AF203" s="43">
        <v>45614</v>
      </c>
      <c r="AG203" s="42">
        <v>311.95</v>
      </c>
      <c r="AH203" s="42">
        <v>322.41000000000003</v>
      </c>
      <c r="AI203" s="42">
        <v>318.05</v>
      </c>
      <c r="AJ203" s="42">
        <v>-4.3600000000000003</v>
      </c>
      <c r="AK203" s="42">
        <v>-3.08</v>
      </c>
      <c r="AL203" s="40" t="s">
        <v>267</v>
      </c>
    </row>
    <row r="204" spans="1:38" x14ac:dyDescent="0.35">
      <c r="A204" s="43">
        <v>45610</v>
      </c>
      <c r="B204" s="42">
        <v>312.2</v>
      </c>
      <c r="C204" s="42">
        <v>323.25</v>
      </c>
      <c r="D204" s="42">
        <v>319.16000000000003</v>
      </c>
      <c r="E204" s="42">
        <v>-4.09</v>
      </c>
      <c r="F204" s="42">
        <v>-3.01</v>
      </c>
      <c r="G204" s="40" t="s">
        <v>267</v>
      </c>
      <c r="P204" s="43">
        <v>45610</v>
      </c>
      <c r="Q204" s="42">
        <v>312.2</v>
      </c>
      <c r="R204" s="42">
        <v>323.25</v>
      </c>
      <c r="S204" s="42">
        <v>319.16000000000003</v>
      </c>
      <c r="T204" s="42">
        <v>-4.09</v>
      </c>
      <c r="U204" s="42">
        <v>-3.01</v>
      </c>
      <c r="V204" s="40" t="s">
        <v>267</v>
      </c>
      <c r="AF204" s="43">
        <v>45610</v>
      </c>
      <c r="AG204" s="42">
        <v>312.2</v>
      </c>
      <c r="AH204" s="42">
        <v>323.25</v>
      </c>
      <c r="AI204" s="42">
        <v>319.16000000000003</v>
      </c>
      <c r="AJ204" s="42">
        <v>-4.09</v>
      </c>
      <c r="AK204" s="42">
        <v>-3.01</v>
      </c>
      <c r="AL204" s="40" t="s">
        <v>267</v>
      </c>
    </row>
    <row r="205" spans="1:38" x14ac:dyDescent="0.35">
      <c r="A205" s="43">
        <v>45609</v>
      </c>
      <c r="B205" s="42">
        <v>318.2</v>
      </c>
      <c r="C205" s="42">
        <v>324.13</v>
      </c>
      <c r="D205" s="42">
        <v>320.42</v>
      </c>
      <c r="E205" s="42">
        <v>-3.71</v>
      </c>
      <c r="F205" s="42">
        <v>-2.95</v>
      </c>
      <c r="G205" s="40" t="s">
        <v>267</v>
      </c>
      <c r="P205" s="43">
        <v>45609</v>
      </c>
      <c r="Q205" s="42">
        <v>318.2</v>
      </c>
      <c r="R205" s="42">
        <v>324.13</v>
      </c>
      <c r="S205" s="42">
        <v>320.42</v>
      </c>
      <c r="T205" s="42">
        <v>-3.71</v>
      </c>
      <c r="U205" s="42">
        <v>-2.95</v>
      </c>
      <c r="V205" s="40" t="s">
        <v>267</v>
      </c>
      <c r="AF205" s="43">
        <v>45609</v>
      </c>
      <c r="AG205" s="42">
        <v>318.2</v>
      </c>
      <c r="AH205" s="42">
        <v>324.13</v>
      </c>
      <c r="AI205" s="42">
        <v>320.42</v>
      </c>
      <c r="AJ205" s="42">
        <v>-3.71</v>
      </c>
      <c r="AK205" s="42">
        <v>-2.95</v>
      </c>
      <c r="AL205" s="40" t="s">
        <v>267</v>
      </c>
    </row>
    <row r="206" spans="1:38" x14ac:dyDescent="0.35">
      <c r="A206" s="43">
        <v>45608</v>
      </c>
      <c r="B206" s="42">
        <v>322.5</v>
      </c>
      <c r="C206" s="42">
        <v>324.60000000000002</v>
      </c>
      <c r="D206" s="42">
        <v>320.83</v>
      </c>
      <c r="E206" s="42">
        <v>-3.78</v>
      </c>
      <c r="F206" s="42">
        <v>-2.91</v>
      </c>
      <c r="G206" s="40" t="s">
        <v>267</v>
      </c>
      <c r="P206" s="43">
        <v>45608</v>
      </c>
      <c r="Q206" s="42">
        <v>322.5</v>
      </c>
      <c r="R206" s="42">
        <v>324.60000000000002</v>
      </c>
      <c r="S206" s="42">
        <v>320.83</v>
      </c>
      <c r="T206" s="42">
        <v>-3.78</v>
      </c>
      <c r="U206" s="42">
        <v>-2.91</v>
      </c>
      <c r="V206" s="40" t="s">
        <v>267</v>
      </c>
      <c r="AF206" s="43">
        <v>45608</v>
      </c>
      <c r="AG206" s="42">
        <v>322.5</v>
      </c>
      <c r="AH206" s="42">
        <v>324.60000000000002</v>
      </c>
      <c r="AI206" s="42">
        <v>320.83</v>
      </c>
      <c r="AJ206" s="42">
        <v>-3.78</v>
      </c>
      <c r="AK206" s="42">
        <v>-2.91</v>
      </c>
      <c r="AL206" s="40" t="s">
        <v>267</v>
      </c>
    </row>
    <row r="207" spans="1:38" x14ac:dyDescent="0.35">
      <c r="A207" s="43">
        <v>45607</v>
      </c>
      <c r="B207" s="42">
        <v>329.75</v>
      </c>
      <c r="C207" s="42">
        <v>324.77</v>
      </c>
      <c r="D207" s="42">
        <v>320.52</v>
      </c>
      <c r="E207" s="42">
        <v>-4.25</v>
      </c>
      <c r="F207" s="42">
        <v>-2.87</v>
      </c>
      <c r="G207" s="40" t="s">
        <v>267</v>
      </c>
      <c r="P207" s="43">
        <v>45607</v>
      </c>
      <c r="Q207" s="42">
        <v>329.75</v>
      </c>
      <c r="R207" s="42">
        <v>324.77</v>
      </c>
      <c r="S207" s="42">
        <v>320.52</v>
      </c>
      <c r="T207" s="42">
        <v>-4.25</v>
      </c>
      <c r="U207" s="42">
        <v>-2.87</v>
      </c>
      <c r="V207" s="40" t="s">
        <v>267</v>
      </c>
      <c r="AF207" s="43">
        <v>45607</v>
      </c>
      <c r="AG207" s="42">
        <v>329.75</v>
      </c>
      <c r="AH207" s="42">
        <v>324.77</v>
      </c>
      <c r="AI207" s="42">
        <v>320.52</v>
      </c>
      <c r="AJ207" s="42">
        <v>-4.25</v>
      </c>
      <c r="AK207" s="42">
        <v>-2.87</v>
      </c>
      <c r="AL207" s="40" t="s">
        <v>267</v>
      </c>
    </row>
    <row r="208" spans="1:38" x14ac:dyDescent="0.35">
      <c r="A208" s="43">
        <v>45604</v>
      </c>
      <c r="B208" s="42">
        <v>316.39999999999998</v>
      </c>
      <c r="C208" s="42">
        <v>324.37</v>
      </c>
      <c r="D208" s="42">
        <v>318.85000000000002</v>
      </c>
      <c r="E208" s="42">
        <v>-5.53</v>
      </c>
      <c r="F208" s="42">
        <v>-2.79</v>
      </c>
      <c r="G208" s="40" t="s">
        <v>267</v>
      </c>
      <c r="P208" s="43">
        <v>45604</v>
      </c>
      <c r="Q208" s="42">
        <v>316.39999999999998</v>
      </c>
      <c r="R208" s="42">
        <v>324.37</v>
      </c>
      <c r="S208" s="42">
        <v>318.85000000000002</v>
      </c>
      <c r="T208" s="42">
        <v>-5.53</v>
      </c>
      <c r="U208" s="42">
        <v>-2.79</v>
      </c>
      <c r="V208" s="40" t="s">
        <v>267</v>
      </c>
      <c r="AF208" s="43">
        <v>45604</v>
      </c>
      <c r="AG208" s="42">
        <v>316.39999999999998</v>
      </c>
      <c r="AH208" s="42">
        <v>324.37</v>
      </c>
      <c r="AI208" s="42">
        <v>318.85000000000002</v>
      </c>
      <c r="AJ208" s="42">
        <v>-5.53</v>
      </c>
      <c r="AK208" s="42">
        <v>-2.79</v>
      </c>
      <c r="AL208" s="40" t="s">
        <v>267</v>
      </c>
    </row>
    <row r="209" spans="1:38" x14ac:dyDescent="0.35">
      <c r="A209" s="43">
        <v>45603</v>
      </c>
      <c r="B209" s="42">
        <v>312.89999999999998</v>
      </c>
      <c r="C209" s="42">
        <v>325.01</v>
      </c>
      <c r="D209" s="42">
        <v>319.29000000000002</v>
      </c>
      <c r="E209" s="42">
        <v>-5.72</v>
      </c>
      <c r="F209" s="42">
        <v>-2.64</v>
      </c>
      <c r="G209" s="40" t="s">
        <v>267</v>
      </c>
      <c r="P209" s="43">
        <v>45603</v>
      </c>
      <c r="Q209" s="42">
        <v>312.89999999999998</v>
      </c>
      <c r="R209" s="42">
        <v>325.01</v>
      </c>
      <c r="S209" s="42">
        <v>319.29000000000002</v>
      </c>
      <c r="T209" s="42">
        <v>-5.72</v>
      </c>
      <c r="U209" s="42">
        <v>-2.64</v>
      </c>
      <c r="V209" s="40" t="s">
        <v>267</v>
      </c>
      <c r="AF209" s="43">
        <v>45603</v>
      </c>
      <c r="AG209" s="42">
        <v>312.89999999999998</v>
      </c>
      <c r="AH209" s="42">
        <v>325.01</v>
      </c>
      <c r="AI209" s="42">
        <v>319.29000000000002</v>
      </c>
      <c r="AJ209" s="42">
        <v>-5.72</v>
      </c>
      <c r="AK209" s="42">
        <v>-2.64</v>
      </c>
      <c r="AL209" s="40" t="s">
        <v>267</v>
      </c>
    </row>
    <row r="210" spans="1:38" x14ac:dyDescent="0.35">
      <c r="A210" s="43">
        <v>45602</v>
      </c>
      <c r="B210" s="42">
        <v>318.45</v>
      </c>
      <c r="C210" s="42">
        <v>325.98</v>
      </c>
      <c r="D210" s="42">
        <v>320.45</v>
      </c>
      <c r="E210" s="42">
        <v>-5.53</v>
      </c>
      <c r="F210" s="42">
        <v>-2.48</v>
      </c>
      <c r="G210" s="40" t="s">
        <v>267</v>
      </c>
      <c r="P210" s="43">
        <v>45602</v>
      </c>
      <c r="Q210" s="42">
        <v>318.45</v>
      </c>
      <c r="R210" s="42">
        <v>325.98</v>
      </c>
      <c r="S210" s="42">
        <v>320.45</v>
      </c>
      <c r="T210" s="42">
        <v>-5.53</v>
      </c>
      <c r="U210" s="42">
        <v>-2.48</v>
      </c>
      <c r="V210" s="40" t="s">
        <v>267</v>
      </c>
      <c r="AF210" s="43">
        <v>45602</v>
      </c>
      <c r="AG210" s="42">
        <v>318.45</v>
      </c>
      <c r="AH210" s="42">
        <v>325.98</v>
      </c>
      <c r="AI210" s="42">
        <v>320.45</v>
      </c>
      <c r="AJ210" s="42">
        <v>-5.53</v>
      </c>
      <c r="AK210" s="42">
        <v>-2.48</v>
      </c>
      <c r="AL210" s="40" t="s">
        <v>267</v>
      </c>
    </row>
    <row r="211" spans="1:38" x14ac:dyDescent="0.35">
      <c r="A211" s="43">
        <v>45601</v>
      </c>
      <c r="B211" s="42">
        <v>316.7</v>
      </c>
      <c r="C211" s="42">
        <v>326.58</v>
      </c>
      <c r="D211" s="42">
        <v>320.82</v>
      </c>
      <c r="E211" s="42">
        <v>-5.77</v>
      </c>
      <c r="F211" s="42">
        <v>-2.31</v>
      </c>
      <c r="G211" s="40" t="s">
        <v>267</v>
      </c>
      <c r="P211" s="43">
        <v>45601</v>
      </c>
      <c r="Q211" s="42">
        <v>316.7</v>
      </c>
      <c r="R211" s="42">
        <v>326.58</v>
      </c>
      <c r="S211" s="42">
        <v>320.82</v>
      </c>
      <c r="T211" s="42">
        <v>-5.77</v>
      </c>
      <c r="U211" s="42">
        <v>-2.31</v>
      </c>
      <c r="V211" s="40" t="s">
        <v>267</v>
      </c>
      <c r="AF211" s="43">
        <v>45601</v>
      </c>
      <c r="AG211" s="42">
        <v>316.7</v>
      </c>
      <c r="AH211" s="42">
        <v>326.58</v>
      </c>
      <c r="AI211" s="42">
        <v>320.82</v>
      </c>
      <c r="AJ211" s="42">
        <v>-5.77</v>
      </c>
      <c r="AK211" s="42">
        <v>-2.31</v>
      </c>
      <c r="AL211" s="40" t="s">
        <v>267</v>
      </c>
    </row>
    <row r="212" spans="1:38" x14ac:dyDescent="0.35">
      <c r="A212" s="43">
        <v>45600</v>
      </c>
      <c r="B212" s="42">
        <v>315.5</v>
      </c>
      <c r="C212" s="42">
        <v>327.37</v>
      </c>
      <c r="D212" s="42">
        <v>321.57</v>
      </c>
      <c r="E212" s="42">
        <v>-5.81</v>
      </c>
      <c r="F212" s="42">
        <v>-2.13</v>
      </c>
      <c r="G212" s="40" t="s">
        <v>267</v>
      </c>
      <c r="P212" s="43">
        <v>45600</v>
      </c>
      <c r="Q212" s="42">
        <v>315.5</v>
      </c>
      <c r="R212" s="42">
        <v>327.37</v>
      </c>
      <c r="S212" s="42">
        <v>321.57</v>
      </c>
      <c r="T212" s="42">
        <v>-5.81</v>
      </c>
      <c r="U212" s="42">
        <v>-2.13</v>
      </c>
      <c r="V212" s="40" t="s">
        <v>267</v>
      </c>
      <c r="AF212" s="43">
        <v>45600</v>
      </c>
      <c r="AG212" s="42">
        <v>315.5</v>
      </c>
      <c r="AH212" s="42">
        <v>327.37</v>
      </c>
      <c r="AI212" s="42">
        <v>321.57</v>
      </c>
      <c r="AJ212" s="42">
        <v>-5.81</v>
      </c>
      <c r="AK212" s="42">
        <v>-2.13</v>
      </c>
      <c r="AL212" s="40" t="s">
        <v>267</v>
      </c>
    </row>
    <row r="213" spans="1:38" x14ac:dyDescent="0.35">
      <c r="A213" s="43">
        <v>45597</v>
      </c>
      <c r="B213" s="42">
        <v>321.89999999999998</v>
      </c>
      <c r="C213" s="42">
        <v>328.32</v>
      </c>
      <c r="D213" s="42">
        <v>322.67</v>
      </c>
      <c r="E213" s="42">
        <v>-5.66</v>
      </c>
      <c r="F213" s="42">
        <v>-1.93</v>
      </c>
      <c r="G213" s="40"/>
      <c r="P213" s="43">
        <v>45597</v>
      </c>
      <c r="Q213" s="42">
        <v>321.89999999999998</v>
      </c>
      <c r="R213" s="42">
        <v>328.32</v>
      </c>
      <c r="S213" s="42">
        <v>322.67</v>
      </c>
      <c r="T213" s="42">
        <v>-5.66</v>
      </c>
      <c r="U213" s="42">
        <v>-1.93</v>
      </c>
      <c r="V213" s="40"/>
      <c r="AF213" s="43">
        <v>45597</v>
      </c>
      <c r="AG213" s="42">
        <v>321.89999999999998</v>
      </c>
      <c r="AH213" s="42">
        <v>328.32</v>
      </c>
      <c r="AI213" s="42">
        <v>322.67</v>
      </c>
      <c r="AJ213" s="42">
        <v>-5.66</v>
      </c>
      <c r="AK213" s="42">
        <v>-1.93</v>
      </c>
      <c r="AL213" s="40"/>
    </row>
    <row r="214" spans="1:38" x14ac:dyDescent="0.35">
      <c r="A214" s="43">
        <v>45596</v>
      </c>
      <c r="B214" s="42">
        <v>321.2</v>
      </c>
      <c r="C214" s="42">
        <v>328.84</v>
      </c>
      <c r="D214" s="42">
        <v>322.81</v>
      </c>
      <c r="E214" s="42">
        <v>-6.03</v>
      </c>
      <c r="F214" s="42">
        <v>-1.73</v>
      </c>
      <c r="G214" s="40"/>
      <c r="P214" s="43">
        <v>45596</v>
      </c>
      <c r="Q214" s="42">
        <v>321.2</v>
      </c>
      <c r="R214" s="42">
        <v>328.84</v>
      </c>
      <c r="S214" s="42">
        <v>322.81</v>
      </c>
      <c r="T214" s="42">
        <v>-6.03</v>
      </c>
      <c r="U214" s="42">
        <v>-1.73</v>
      </c>
      <c r="V214" s="40"/>
      <c r="AF214" s="43">
        <v>45596</v>
      </c>
      <c r="AG214" s="42">
        <v>321.2</v>
      </c>
      <c r="AH214" s="42">
        <v>328.84</v>
      </c>
      <c r="AI214" s="42">
        <v>322.81</v>
      </c>
      <c r="AJ214" s="42">
        <v>-6.03</v>
      </c>
      <c r="AK214" s="42">
        <v>-1.73</v>
      </c>
      <c r="AL214" s="40"/>
    </row>
    <row r="215" spans="1:38" x14ac:dyDescent="0.35">
      <c r="A215" s="43">
        <v>45595</v>
      </c>
      <c r="B215" s="42">
        <v>318.45</v>
      </c>
      <c r="C215" s="42">
        <v>329.45</v>
      </c>
      <c r="D215" s="42">
        <v>323.10000000000002</v>
      </c>
      <c r="E215" s="42">
        <v>-6.35</v>
      </c>
      <c r="F215" s="42">
        <v>0</v>
      </c>
      <c r="G215" s="40"/>
      <c r="P215" s="43">
        <v>45595</v>
      </c>
      <c r="Q215" s="42">
        <v>318.45</v>
      </c>
      <c r="R215" s="42">
        <v>329.45</v>
      </c>
      <c r="S215" s="42">
        <v>323.10000000000002</v>
      </c>
      <c r="T215" s="42">
        <v>-6.35</v>
      </c>
      <c r="U215" s="42">
        <v>0</v>
      </c>
      <c r="V215" s="40"/>
      <c r="AF215" s="43">
        <v>45595</v>
      </c>
      <c r="AG215" s="42">
        <v>318.45</v>
      </c>
      <c r="AH215" s="42">
        <v>329.45</v>
      </c>
      <c r="AI215" s="42">
        <v>323.10000000000002</v>
      </c>
      <c r="AJ215" s="42">
        <v>-6.35</v>
      </c>
      <c r="AK215" s="42">
        <v>0</v>
      </c>
      <c r="AL215" s="40"/>
    </row>
    <row r="216" spans="1:38" x14ac:dyDescent="0.35">
      <c r="A216" s="43">
        <v>45594</v>
      </c>
      <c r="B216" s="42">
        <v>320.64999999999998</v>
      </c>
      <c r="C216" s="42">
        <v>330.33</v>
      </c>
      <c r="D216" s="42">
        <v>323.95</v>
      </c>
      <c r="E216" s="42">
        <v>-6.38</v>
      </c>
      <c r="F216" s="42">
        <v>0</v>
      </c>
      <c r="G216" s="40"/>
      <c r="P216" s="43">
        <v>45594</v>
      </c>
      <c r="Q216" s="42">
        <v>320.64999999999998</v>
      </c>
      <c r="R216" s="42">
        <v>330.33</v>
      </c>
      <c r="S216" s="42">
        <v>323.95</v>
      </c>
      <c r="T216" s="42">
        <v>-6.38</v>
      </c>
      <c r="U216" s="42">
        <v>0</v>
      </c>
      <c r="V216" s="40"/>
      <c r="AF216" s="43">
        <v>45594</v>
      </c>
      <c r="AG216" s="42">
        <v>320.64999999999998</v>
      </c>
      <c r="AH216" s="42">
        <v>330.33</v>
      </c>
      <c r="AI216" s="42">
        <v>323.95</v>
      </c>
      <c r="AJ216" s="42">
        <v>-6.38</v>
      </c>
      <c r="AK216" s="42">
        <v>0</v>
      </c>
      <c r="AL216" s="40"/>
    </row>
    <row r="217" spans="1:38" x14ac:dyDescent="0.35">
      <c r="A217" s="43">
        <v>45593</v>
      </c>
      <c r="B217" s="42">
        <v>318.05</v>
      </c>
      <c r="C217" s="42">
        <v>331.1</v>
      </c>
      <c r="D217" s="42">
        <v>324.55</v>
      </c>
      <c r="E217" s="42">
        <v>-6.56</v>
      </c>
      <c r="F217" s="42">
        <v>0</v>
      </c>
      <c r="G217" s="40"/>
      <c r="P217" s="43">
        <v>45593</v>
      </c>
      <c r="Q217" s="42">
        <v>318.05</v>
      </c>
      <c r="R217" s="42">
        <v>331.1</v>
      </c>
      <c r="S217" s="42">
        <v>324.55</v>
      </c>
      <c r="T217" s="42">
        <v>-6.56</v>
      </c>
      <c r="U217" s="42">
        <v>0</v>
      </c>
      <c r="V217" s="40"/>
      <c r="AF217" s="43">
        <v>45593</v>
      </c>
      <c r="AG217" s="42">
        <v>318.05</v>
      </c>
      <c r="AH217" s="42">
        <v>331.1</v>
      </c>
      <c r="AI217" s="42">
        <v>324.55</v>
      </c>
      <c r="AJ217" s="42">
        <v>-6.56</v>
      </c>
      <c r="AK217" s="42">
        <v>0</v>
      </c>
      <c r="AL217" s="40"/>
    </row>
    <row r="218" spans="1:38" x14ac:dyDescent="0.35">
      <c r="A218" s="43">
        <v>45590</v>
      </c>
      <c r="B218" s="42">
        <v>315.55</v>
      </c>
      <c r="C218" s="42">
        <v>332.15</v>
      </c>
      <c r="D218" s="42">
        <v>325.73</v>
      </c>
      <c r="E218" s="42">
        <v>-6.42</v>
      </c>
      <c r="F218" s="42">
        <v>0</v>
      </c>
      <c r="G218" s="40"/>
      <c r="P218" s="43">
        <v>45590</v>
      </c>
      <c r="Q218" s="42">
        <v>315.55</v>
      </c>
      <c r="R218" s="42">
        <v>332.15</v>
      </c>
      <c r="S218" s="42">
        <v>325.73</v>
      </c>
      <c r="T218" s="42">
        <v>-6.42</v>
      </c>
      <c r="U218" s="42">
        <v>0</v>
      </c>
      <c r="V218" s="40"/>
      <c r="AF218" s="43">
        <v>45590</v>
      </c>
      <c r="AG218" s="42">
        <v>315.55</v>
      </c>
      <c r="AH218" s="42">
        <v>332.15</v>
      </c>
      <c r="AI218" s="42">
        <v>325.73</v>
      </c>
      <c r="AJ218" s="42">
        <v>-6.42</v>
      </c>
      <c r="AK218" s="42">
        <v>0</v>
      </c>
      <c r="AL218" s="40"/>
    </row>
    <row r="219" spans="1:38" x14ac:dyDescent="0.35">
      <c r="A219" s="43">
        <v>45589</v>
      </c>
      <c r="B219" s="42">
        <v>319.05</v>
      </c>
      <c r="C219" s="42">
        <v>333.47</v>
      </c>
      <c r="D219" s="42">
        <v>327.58</v>
      </c>
      <c r="E219" s="42">
        <v>-5.9</v>
      </c>
      <c r="F219" s="42">
        <v>0</v>
      </c>
      <c r="G219" s="40"/>
      <c r="P219" s="43">
        <v>45589</v>
      </c>
      <c r="Q219" s="42">
        <v>319.05</v>
      </c>
      <c r="R219" s="42">
        <v>333.47</v>
      </c>
      <c r="S219" s="42">
        <v>327.58</v>
      </c>
      <c r="T219" s="42">
        <v>-5.9</v>
      </c>
      <c r="U219" s="42">
        <v>0</v>
      </c>
      <c r="V219" s="40"/>
      <c r="AF219" s="43">
        <v>45589</v>
      </c>
      <c r="AG219" s="42">
        <v>319.05</v>
      </c>
      <c r="AH219" s="42">
        <v>333.47</v>
      </c>
      <c r="AI219" s="42">
        <v>327.58</v>
      </c>
      <c r="AJ219" s="42">
        <v>-5.9</v>
      </c>
      <c r="AK219" s="42">
        <v>0</v>
      </c>
      <c r="AL219" s="40"/>
    </row>
    <row r="220" spans="1:38" x14ac:dyDescent="0.35">
      <c r="A220" s="43">
        <v>45588</v>
      </c>
      <c r="B220" s="42">
        <v>316.8</v>
      </c>
      <c r="C220" s="42">
        <v>334.63</v>
      </c>
      <c r="D220" s="42">
        <v>329.13</v>
      </c>
      <c r="E220" s="42">
        <v>-5.5</v>
      </c>
      <c r="F220" s="42">
        <v>0</v>
      </c>
      <c r="G220" s="40"/>
      <c r="P220" s="43">
        <v>45588</v>
      </c>
      <c r="Q220" s="42">
        <v>316.8</v>
      </c>
      <c r="R220" s="42">
        <v>334.63</v>
      </c>
      <c r="S220" s="42">
        <v>329.13</v>
      </c>
      <c r="T220" s="42">
        <v>-5.5</v>
      </c>
      <c r="U220" s="42">
        <v>0</v>
      </c>
      <c r="V220" s="40"/>
      <c r="AF220" s="43">
        <v>45588</v>
      </c>
      <c r="AG220" s="42">
        <v>316.8</v>
      </c>
      <c r="AH220" s="42">
        <v>334.63</v>
      </c>
      <c r="AI220" s="42">
        <v>329.13</v>
      </c>
      <c r="AJ220" s="42">
        <v>-5.5</v>
      </c>
      <c r="AK220" s="42">
        <v>0</v>
      </c>
      <c r="AL220" s="40"/>
    </row>
    <row r="221" spans="1:38" x14ac:dyDescent="0.35">
      <c r="A221" s="43">
        <v>45587</v>
      </c>
      <c r="B221" s="42">
        <v>322.8</v>
      </c>
      <c r="C221" s="42">
        <v>336.05</v>
      </c>
      <c r="D221" s="42">
        <v>331.37</v>
      </c>
      <c r="E221" s="42">
        <v>-4.6900000000000004</v>
      </c>
      <c r="F221" s="42">
        <v>0</v>
      </c>
      <c r="G221" s="40"/>
      <c r="P221" s="43">
        <v>45587</v>
      </c>
      <c r="Q221" s="42">
        <v>322.8</v>
      </c>
      <c r="R221" s="42">
        <v>336.05</v>
      </c>
      <c r="S221" s="42">
        <v>331.37</v>
      </c>
      <c r="T221" s="42">
        <v>-4.6900000000000004</v>
      </c>
      <c r="U221" s="42">
        <v>0</v>
      </c>
      <c r="V221" s="40"/>
      <c r="AF221" s="43">
        <v>45587</v>
      </c>
      <c r="AG221" s="42">
        <v>322.8</v>
      </c>
      <c r="AH221" s="42">
        <v>336.05</v>
      </c>
      <c r="AI221" s="42">
        <v>331.37</v>
      </c>
      <c r="AJ221" s="42">
        <v>-4.6900000000000004</v>
      </c>
      <c r="AK221" s="42">
        <v>0</v>
      </c>
      <c r="AL221" s="40"/>
    </row>
    <row r="222" spans="1:38" x14ac:dyDescent="0.35">
      <c r="A222" s="43">
        <v>45586</v>
      </c>
      <c r="B222" s="42">
        <v>331</v>
      </c>
      <c r="C222" s="42">
        <v>337.12</v>
      </c>
      <c r="D222" s="42">
        <v>332.93</v>
      </c>
      <c r="E222" s="42">
        <v>-4.1900000000000004</v>
      </c>
      <c r="F222" s="42">
        <v>0</v>
      </c>
      <c r="G222" s="40"/>
      <c r="P222" s="43">
        <v>45586</v>
      </c>
      <c r="Q222" s="42">
        <v>331</v>
      </c>
      <c r="R222" s="42">
        <v>337.12</v>
      </c>
      <c r="S222" s="42">
        <v>332.93</v>
      </c>
      <c r="T222" s="42">
        <v>-4.1900000000000004</v>
      </c>
      <c r="U222" s="42">
        <v>0</v>
      </c>
      <c r="V222" s="40"/>
      <c r="AF222" s="43">
        <v>45586</v>
      </c>
      <c r="AG222" s="42">
        <v>331</v>
      </c>
      <c r="AH222" s="42">
        <v>337.12</v>
      </c>
      <c r="AI222" s="42">
        <v>332.93</v>
      </c>
      <c r="AJ222" s="42">
        <v>-4.1900000000000004</v>
      </c>
      <c r="AK222" s="42">
        <v>0</v>
      </c>
      <c r="AL222" s="40"/>
    </row>
    <row r="223" spans="1:38" x14ac:dyDescent="0.35">
      <c r="A223" s="43">
        <v>45583</v>
      </c>
      <c r="B223" s="42">
        <v>331.95</v>
      </c>
      <c r="C223" s="42">
        <v>337.6</v>
      </c>
      <c r="D223" s="42">
        <v>333.28</v>
      </c>
      <c r="E223" s="42">
        <v>-4.33</v>
      </c>
      <c r="F223" s="42">
        <v>0</v>
      </c>
      <c r="G223" s="40"/>
      <c r="P223" s="43">
        <v>45583</v>
      </c>
      <c r="Q223" s="42">
        <v>331.95</v>
      </c>
      <c r="R223" s="42">
        <v>337.6</v>
      </c>
      <c r="S223" s="42">
        <v>333.28</v>
      </c>
      <c r="T223" s="42">
        <v>-4.33</v>
      </c>
      <c r="U223" s="42">
        <v>0</v>
      </c>
      <c r="V223" s="40"/>
      <c r="AF223" s="43">
        <v>45583</v>
      </c>
      <c r="AG223" s="42">
        <v>331.95</v>
      </c>
      <c r="AH223" s="42">
        <v>337.6</v>
      </c>
      <c r="AI223" s="42">
        <v>333.28</v>
      </c>
      <c r="AJ223" s="42">
        <v>-4.33</v>
      </c>
      <c r="AK223" s="42">
        <v>0</v>
      </c>
      <c r="AL223" s="40"/>
    </row>
    <row r="224" spans="1:38" x14ac:dyDescent="0.35">
      <c r="A224" s="43">
        <v>45582</v>
      </c>
      <c r="B224" s="42">
        <v>331.3</v>
      </c>
      <c r="C224" s="42">
        <v>338.06</v>
      </c>
      <c r="D224" s="42">
        <v>333.52</v>
      </c>
      <c r="E224" s="42">
        <v>-4.54</v>
      </c>
      <c r="F224" s="42">
        <v>0</v>
      </c>
      <c r="G224" s="40"/>
      <c r="P224" s="43">
        <v>45582</v>
      </c>
      <c r="Q224" s="42">
        <v>331.3</v>
      </c>
      <c r="R224" s="42">
        <v>338.06</v>
      </c>
      <c r="S224" s="42">
        <v>333.52</v>
      </c>
      <c r="T224" s="42">
        <v>-4.54</v>
      </c>
      <c r="U224" s="42">
        <v>0</v>
      </c>
      <c r="V224" s="40"/>
      <c r="AF224" s="43">
        <v>45582</v>
      </c>
      <c r="AG224" s="42">
        <v>331.3</v>
      </c>
      <c r="AH224" s="42">
        <v>338.06</v>
      </c>
      <c r="AI224" s="42">
        <v>333.52</v>
      </c>
      <c r="AJ224" s="42">
        <v>-4.54</v>
      </c>
      <c r="AK224" s="42">
        <v>0</v>
      </c>
      <c r="AL224" s="40"/>
    </row>
    <row r="225" spans="1:38" x14ac:dyDescent="0.35">
      <c r="A225" s="43">
        <v>45581</v>
      </c>
      <c r="B225" s="42">
        <v>327.10000000000002</v>
      </c>
      <c r="C225" s="42">
        <v>338.6</v>
      </c>
      <c r="D225" s="42">
        <v>333.92</v>
      </c>
      <c r="E225" s="42">
        <v>-4.68</v>
      </c>
      <c r="F225" s="42">
        <v>0</v>
      </c>
      <c r="G225" s="40"/>
      <c r="P225" s="43">
        <v>45581</v>
      </c>
      <c r="Q225" s="42">
        <v>327.10000000000002</v>
      </c>
      <c r="R225" s="42">
        <v>338.6</v>
      </c>
      <c r="S225" s="42">
        <v>333.92</v>
      </c>
      <c r="T225" s="42">
        <v>-4.68</v>
      </c>
      <c r="U225" s="42">
        <v>0</v>
      </c>
      <c r="V225" s="40"/>
      <c r="AF225" s="43">
        <v>45581</v>
      </c>
      <c r="AG225" s="42">
        <v>327.10000000000002</v>
      </c>
      <c r="AH225" s="42">
        <v>338.6</v>
      </c>
      <c r="AI225" s="42">
        <v>333.92</v>
      </c>
      <c r="AJ225" s="42">
        <v>-4.68</v>
      </c>
      <c r="AK225" s="42">
        <v>0</v>
      </c>
      <c r="AL225" s="40"/>
    </row>
    <row r="226" spans="1:38" x14ac:dyDescent="0.35">
      <c r="A226" s="43">
        <v>45580</v>
      </c>
      <c r="B226" s="42">
        <v>329.65</v>
      </c>
      <c r="C226" s="42">
        <v>0</v>
      </c>
      <c r="D226" s="42">
        <v>0</v>
      </c>
      <c r="E226" s="42">
        <v>0</v>
      </c>
      <c r="F226" s="42">
        <v>0</v>
      </c>
      <c r="P226" s="43">
        <v>45580</v>
      </c>
      <c r="Q226" s="42">
        <v>329.65</v>
      </c>
      <c r="R226" s="42">
        <v>0</v>
      </c>
      <c r="S226" s="42">
        <v>0</v>
      </c>
      <c r="T226" s="42">
        <v>0</v>
      </c>
      <c r="U226" s="42">
        <v>0</v>
      </c>
      <c r="AF226" s="43">
        <v>45580</v>
      </c>
      <c r="AG226" s="42">
        <v>329.65</v>
      </c>
      <c r="AH226" s="42">
        <v>0</v>
      </c>
      <c r="AI226" s="42">
        <v>0</v>
      </c>
      <c r="AJ226" s="42">
        <v>0</v>
      </c>
      <c r="AK226" s="42">
        <v>0</v>
      </c>
    </row>
    <row r="227" spans="1:38" x14ac:dyDescent="0.35">
      <c r="A227" s="43">
        <v>45579</v>
      </c>
      <c r="B227" s="42">
        <v>330.75</v>
      </c>
      <c r="C227" s="42">
        <v>0</v>
      </c>
      <c r="D227" s="42">
        <v>0</v>
      </c>
      <c r="E227" s="42">
        <v>0</v>
      </c>
      <c r="F227" s="42">
        <v>0</v>
      </c>
      <c r="P227" s="43">
        <v>45579</v>
      </c>
      <c r="Q227" s="42">
        <v>330.75</v>
      </c>
      <c r="R227" s="42">
        <v>0</v>
      </c>
      <c r="S227" s="42">
        <v>0</v>
      </c>
      <c r="T227" s="42">
        <v>0</v>
      </c>
      <c r="U227" s="42">
        <v>0</v>
      </c>
      <c r="AF227" s="43">
        <v>45579</v>
      </c>
      <c r="AG227" s="42">
        <v>330.75</v>
      </c>
      <c r="AH227" s="42">
        <v>0</v>
      </c>
      <c r="AI227" s="42">
        <v>0</v>
      </c>
      <c r="AJ227" s="42">
        <v>0</v>
      </c>
      <c r="AK227" s="42">
        <v>0</v>
      </c>
    </row>
    <row r="228" spans="1:38" x14ac:dyDescent="0.35">
      <c r="A228" s="43">
        <v>45576</v>
      </c>
      <c r="B228" s="42">
        <v>330</v>
      </c>
      <c r="C228" s="42">
        <v>0</v>
      </c>
      <c r="D228" s="42">
        <v>0</v>
      </c>
      <c r="E228" s="42">
        <v>0</v>
      </c>
      <c r="F228" s="42">
        <v>0</v>
      </c>
      <c r="P228" s="43">
        <v>45576</v>
      </c>
      <c r="Q228" s="42">
        <v>330</v>
      </c>
      <c r="R228" s="42">
        <v>0</v>
      </c>
      <c r="S228" s="42">
        <v>0</v>
      </c>
      <c r="T228" s="42">
        <v>0</v>
      </c>
      <c r="U228" s="42">
        <v>0</v>
      </c>
      <c r="AF228" s="43">
        <v>45576</v>
      </c>
      <c r="AG228" s="42">
        <v>330</v>
      </c>
      <c r="AH228" s="42">
        <v>0</v>
      </c>
      <c r="AI228" s="42">
        <v>0</v>
      </c>
      <c r="AJ228" s="42">
        <v>0</v>
      </c>
      <c r="AK228" s="42">
        <v>0</v>
      </c>
    </row>
    <row r="229" spans="1:38" x14ac:dyDescent="0.35">
      <c r="A229" s="43">
        <v>45575</v>
      </c>
      <c r="B229" s="42">
        <v>334.35</v>
      </c>
      <c r="C229" s="42">
        <v>0</v>
      </c>
      <c r="D229" s="42">
        <v>0</v>
      </c>
      <c r="E229" s="42">
        <v>0</v>
      </c>
      <c r="F229" s="42">
        <v>0</v>
      </c>
      <c r="P229" s="43">
        <v>45575</v>
      </c>
      <c r="Q229" s="42">
        <v>334.35</v>
      </c>
      <c r="R229" s="42">
        <v>0</v>
      </c>
      <c r="S229" s="42">
        <v>0</v>
      </c>
      <c r="T229" s="42">
        <v>0</v>
      </c>
      <c r="U229" s="42">
        <v>0</v>
      </c>
      <c r="AF229" s="43">
        <v>45575</v>
      </c>
      <c r="AG229" s="42">
        <v>334.35</v>
      </c>
      <c r="AH229" s="42">
        <v>0</v>
      </c>
      <c r="AI229" s="42">
        <v>0</v>
      </c>
      <c r="AJ229" s="42">
        <v>0</v>
      </c>
      <c r="AK229" s="42">
        <v>0</v>
      </c>
    </row>
    <row r="230" spans="1:38" x14ac:dyDescent="0.35">
      <c r="A230" s="43">
        <v>45574</v>
      </c>
      <c r="B230" s="42">
        <v>329.75</v>
      </c>
      <c r="C230" s="42">
        <v>0</v>
      </c>
      <c r="D230" s="42">
        <v>0</v>
      </c>
      <c r="E230" s="42">
        <v>0</v>
      </c>
      <c r="F230" s="42">
        <v>0</v>
      </c>
      <c r="P230" s="43">
        <v>45574</v>
      </c>
      <c r="Q230" s="42">
        <v>329.75</v>
      </c>
      <c r="R230" s="42">
        <v>0</v>
      </c>
      <c r="S230" s="42">
        <v>0</v>
      </c>
      <c r="T230" s="42">
        <v>0</v>
      </c>
      <c r="U230" s="42">
        <v>0</v>
      </c>
      <c r="AF230" s="43">
        <v>45574</v>
      </c>
      <c r="AG230" s="42">
        <v>329.75</v>
      </c>
      <c r="AH230" s="42">
        <v>0</v>
      </c>
      <c r="AI230" s="42">
        <v>0</v>
      </c>
      <c r="AJ230" s="42">
        <v>0</v>
      </c>
      <c r="AK230" s="42">
        <v>0</v>
      </c>
    </row>
    <row r="231" spans="1:38" x14ac:dyDescent="0.35">
      <c r="A231" s="43">
        <v>45573</v>
      </c>
      <c r="B231" s="42">
        <v>327.14999999999998</v>
      </c>
      <c r="C231" s="42">
        <v>0</v>
      </c>
      <c r="D231" s="42">
        <v>0</v>
      </c>
      <c r="E231" s="42">
        <v>0</v>
      </c>
      <c r="F231" s="42">
        <v>0</v>
      </c>
      <c r="P231" s="43">
        <v>45573</v>
      </c>
      <c r="Q231" s="42">
        <v>327.14999999999998</v>
      </c>
      <c r="R231" s="42">
        <v>0</v>
      </c>
      <c r="S231" s="42">
        <v>0</v>
      </c>
      <c r="T231" s="42">
        <v>0</v>
      </c>
      <c r="U231" s="42">
        <v>0</v>
      </c>
      <c r="AF231" s="43">
        <v>45573</v>
      </c>
      <c r="AG231" s="42">
        <v>327.14999999999998</v>
      </c>
      <c r="AH231" s="42">
        <v>0</v>
      </c>
      <c r="AI231" s="42">
        <v>0</v>
      </c>
      <c r="AJ231" s="42">
        <v>0</v>
      </c>
      <c r="AK231" s="42">
        <v>0</v>
      </c>
    </row>
    <row r="232" spans="1:38" x14ac:dyDescent="0.35">
      <c r="A232" s="43">
        <v>45572</v>
      </c>
      <c r="B232" s="42">
        <v>328.9</v>
      </c>
      <c r="C232" s="42">
        <v>0</v>
      </c>
      <c r="D232" s="42">
        <v>0</v>
      </c>
      <c r="E232" s="42">
        <v>0</v>
      </c>
      <c r="F232" s="42">
        <v>0</v>
      </c>
      <c r="P232" s="43">
        <v>45572</v>
      </c>
      <c r="Q232" s="42">
        <v>328.9</v>
      </c>
      <c r="R232" s="42">
        <v>0</v>
      </c>
      <c r="S232" s="42">
        <v>0</v>
      </c>
      <c r="T232" s="42">
        <v>0</v>
      </c>
      <c r="U232" s="42">
        <v>0</v>
      </c>
      <c r="AF232" s="43">
        <v>45572</v>
      </c>
      <c r="AG232" s="42">
        <v>328.9</v>
      </c>
      <c r="AH232" s="42">
        <v>0</v>
      </c>
      <c r="AI232" s="42">
        <v>0</v>
      </c>
      <c r="AJ232" s="42">
        <v>0</v>
      </c>
      <c r="AK232" s="42">
        <v>0</v>
      </c>
    </row>
    <row r="233" spans="1:38" x14ac:dyDescent="0.35">
      <c r="A233" s="43">
        <v>45569</v>
      </c>
      <c r="B233" s="42">
        <v>338.8</v>
      </c>
      <c r="C233" s="42">
        <v>0</v>
      </c>
      <c r="D233" s="42">
        <v>0</v>
      </c>
      <c r="E233" s="42">
        <v>0</v>
      </c>
      <c r="F233" s="42">
        <v>0</v>
      </c>
      <c r="P233" s="43">
        <v>45569</v>
      </c>
      <c r="Q233" s="42">
        <v>338.8</v>
      </c>
      <c r="R233" s="42">
        <v>0</v>
      </c>
      <c r="S233" s="42">
        <v>0</v>
      </c>
      <c r="T233" s="42">
        <v>0</v>
      </c>
      <c r="U233" s="42">
        <v>0</v>
      </c>
      <c r="AF233" s="43">
        <v>45569</v>
      </c>
      <c r="AG233" s="42">
        <v>338.8</v>
      </c>
      <c r="AH233" s="42">
        <v>0</v>
      </c>
      <c r="AI233" s="42">
        <v>0</v>
      </c>
      <c r="AJ233" s="42">
        <v>0</v>
      </c>
      <c r="AK233" s="42">
        <v>0</v>
      </c>
    </row>
    <row r="234" spans="1:38" x14ac:dyDescent="0.35">
      <c r="A234" s="43">
        <v>45568</v>
      </c>
      <c r="B234" s="42">
        <v>344.2</v>
      </c>
      <c r="C234" s="42">
        <v>0</v>
      </c>
      <c r="D234" s="42">
        <v>0</v>
      </c>
      <c r="E234" s="42">
        <v>0</v>
      </c>
      <c r="F234" s="42">
        <v>0</v>
      </c>
      <c r="P234" s="43">
        <v>45568</v>
      </c>
      <c r="Q234" s="42">
        <v>344.2</v>
      </c>
      <c r="R234" s="42">
        <v>0</v>
      </c>
      <c r="S234" s="42">
        <v>0</v>
      </c>
      <c r="T234" s="42">
        <v>0</v>
      </c>
      <c r="U234" s="42">
        <v>0</v>
      </c>
      <c r="AF234" s="43">
        <v>45568</v>
      </c>
      <c r="AG234" s="42">
        <v>344.2</v>
      </c>
      <c r="AH234" s="42">
        <v>0</v>
      </c>
      <c r="AI234" s="42">
        <v>0</v>
      </c>
      <c r="AJ234" s="42">
        <v>0</v>
      </c>
      <c r="AK234" s="42">
        <v>0</v>
      </c>
    </row>
    <row r="235" spans="1:38" x14ac:dyDescent="0.35">
      <c r="A235" s="43">
        <v>45566</v>
      </c>
      <c r="B235" s="42">
        <v>350.85</v>
      </c>
      <c r="C235" s="42">
        <v>0</v>
      </c>
      <c r="D235" s="42">
        <v>0</v>
      </c>
      <c r="E235" s="42">
        <v>0</v>
      </c>
      <c r="F235" s="42">
        <v>0</v>
      </c>
      <c r="P235" s="43">
        <v>45566</v>
      </c>
      <c r="Q235" s="42">
        <v>350.85</v>
      </c>
      <c r="R235" s="42">
        <v>0</v>
      </c>
      <c r="S235" s="42">
        <v>0</v>
      </c>
      <c r="T235" s="42">
        <v>0</v>
      </c>
      <c r="U235" s="42">
        <v>0</v>
      </c>
      <c r="AF235" s="43">
        <v>45566</v>
      </c>
      <c r="AG235" s="42">
        <v>350.85</v>
      </c>
      <c r="AH235" s="42">
        <v>0</v>
      </c>
      <c r="AI235" s="42">
        <v>0</v>
      </c>
      <c r="AJ235" s="42">
        <v>0</v>
      </c>
      <c r="AK235" s="42">
        <v>0</v>
      </c>
    </row>
    <row r="236" spans="1:38" x14ac:dyDescent="0.35">
      <c r="A236" s="43">
        <v>45565</v>
      </c>
      <c r="B236" s="42">
        <v>352.9</v>
      </c>
      <c r="C236" s="42">
        <v>0</v>
      </c>
      <c r="D236" s="42">
        <v>0</v>
      </c>
      <c r="E236" s="42">
        <v>0</v>
      </c>
      <c r="F236" s="42">
        <v>0</v>
      </c>
      <c r="P236" s="43">
        <v>45565</v>
      </c>
      <c r="Q236" s="42">
        <v>352.9</v>
      </c>
      <c r="R236" s="42">
        <v>0</v>
      </c>
      <c r="S236" s="42">
        <v>0</v>
      </c>
      <c r="T236" s="42">
        <v>0</v>
      </c>
      <c r="U236" s="42">
        <v>0</v>
      </c>
      <c r="AF236" s="43">
        <v>45565</v>
      </c>
      <c r="AG236" s="42">
        <v>352.9</v>
      </c>
      <c r="AH236" s="42">
        <v>0</v>
      </c>
      <c r="AI236" s="42">
        <v>0</v>
      </c>
      <c r="AJ236" s="42">
        <v>0</v>
      </c>
      <c r="AK236" s="42">
        <v>0</v>
      </c>
    </row>
    <row r="237" spans="1:38" x14ac:dyDescent="0.35">
      <c r="A237" s="43">
        <v>45562</v>
      </c>
      <c r="B237" s="42">
        <v>354.2</v>
      </c>
      <c r="C237" s="42">
        <v>0</v>
      </c>
      <c r="D237" s="42">
        <v>0</v>
      </c>
      <c r="E237" s="42">
        <v>0</v>
      </c>
      <c r="F237" s="42">
        <v>0</v>
      </c>
      <c r="P237" s="43">
        <v>45562</v>
      </c>
      <c r="Q237" s="42">
        <v>354.2</v>
      </c>
      <c r="R237" s="42">
        <v>0</v>
      </c>
      <c r="S237" s="42">
        <v>0</v>
      </c>
      <c r="T237" s="42">
        <v>0</v>
      </c>
      <c r="U237" s="42">
        <v>0</v>
      </c>
      <c r="AF237" s="43">
        <v>45562</v>
      </c>
      <c r="AG237" s="42">
        <v>354.2</v>
      </c>
      <c r="AH237" s="42">
        <v>0</v>
      </c>
      <c r="AI237" s="42">
        <v>0</v>
      </c>
      <c r="AJ237" s="42">
        <v>0</v>
      </c>
      <c r="AK237" s="42">
        <v>0</v>
      </c>
    </row>
    <row r="238" spans="1:38" x14ac:dyDescent="0.35">
      <c r="A238" s="43">
        <v>45561</v>
      </c>
      <c r="B238" s="42">
        <v>365.25</v>
      </c>
      <c r="C238" s="42">
        <v>0</v>
      </c>
      <c r="D238" s="42">
        <v>0</v>
      </c>
      <c r="E238" s="42">
        <v>0</v>
      </c>
      <c r="F238" s="42">
        <v>0</v>
      </c>
      <c r="P238" s="43">
        <v>45561</v>
      </c>
      <c r="Q238" s="42">
        <v>365.25</v>
      </c>
      <c r="R238" s="42">
        <v>0</v>
      </c>
      <c r="S238" s="42">
        <v>0</v>
      </c>
      <c r="T238" s="42">
        <v>0</v>
      </c>
      <c r="U238" s="42">
        <v>0</v>
      </c>
      <c r="AF238" s="43">
        <v>45561</v>
      </c>
      <c r="AG238" s="42">
        <v>365.25</v>
      </c>
      <c r="AH238" s="42">
        <v>0</v>
      </c>
      <c r="AI238" s="42">
        <v>0</v>
      </c>
      <c r="AJ238" s="42">
        <v>0</v>
      </c>
      <c r="AK238" s="42">
        <v>0</v>
      </c>
    </row>
    <row r="239" spans="1:38" x14ac:dyDescent="0.35">
      <c r="A239" s="43">
        <v>45560</v>
      </c>
      <c r="B239" s="42">
        <v>363.8</v>
      </c>
      <c r="C239" s="42">
        <v>0</v>
      </c>
      <c r="D239" s="42">
        <v>0</v>
      </c>
      <c r="E239" s="42">
        <v>0</v>
      </c>
      <c r="F239" s="42">
        <v>0</v>
      </c>
      <c r="P239" s="43">
        <v>45560</v>
      </c>
      <c r="Q239" s="42">
        <v>363.8</v>
      </c>
      <c r="R239" s="42">
        <v>0</v>
      </c>
      <c r="S239" s="42">
        <v>0</v>
      </c>
      <c r="T239" s="42">
        <v>0</v>
      </c>
      <c r="U239" s="42">
        <v>0</v>
      </c>
      <c r="AF239" s="43">
        <v>45560</v>
      </c>
      <c r="AG239" s="42">
        <v>363.8</v>
      </c>
      <c r="AH239" s="42">
        <v>0</v>
      </c>
      <c r="AI239" s="42">
        <v>0</v>
      </c>
      <c r="AJ239" s="42">
        <v>0</v>
      </c>
      <c r="AK239" s="42">
        <v>0</v>
      </c>
    </row>
    <row r="240" spans="1:38" x14ac:dyDescent="0.35">
      <c r="A240" s="43">
        <v>45559</v>
      </c>
      <c r="B240" s="42">
        <v>350.1</v>
      </c>
      <c r="C240" s="42">
        <v>0</v>
      </c>
      <c r="D240" s="42">
        <v>0</v>
      </c>
      <c r="E240" s="42">
        <v>0</v>
      </c>
      <c r="F240" s="42">
        <v>0</v>
      </c>
      <c r="P240" s="43">
        <v>45559</v>
      </c>
      <c r="Q240" s="42">
        <v>350.1</v>
      </c>
      <c r="R240" s="42">
        <v>0</v>
      </c>
      <c r="S240" s="42">
        <v>0</v>
      </c>
      <c r="T240" s="42">
        <v>0</v>
      </c>
      <c r="U240" s="42">
        <v>0</v>
      </c>
      <c r="AF240" s="43">
        <v>45559</v>
      </c>
      <c r="AG240" s="42">
        <v>350.1</v>
      </c>
      <c r="AH240" s="42">
        <v>0</v>
      </c>
      <c r="AI240" s="42">
        <v>0</v>
      </c>
      <c r="AJ240" s="42">
        <v>0</v>
      </c>
      <c r="AK240" s="42">
        <v>0</v>
      </c>
    </row>
    <row r="241" spans="1:38" x14ac:dyDescent="0.35">
      <c r="A241" s="43">
        <v>45558</v>
      </c>
      <c r="B241" s="42">
        <v>341.05</v>
      </c>
      <c r="C241" s="42">
        <v>0</v>
      </c>
      <c r="D241" s="42">
        <v>0</v>
      </c>
      <c r="E241" s="42">
        <v>0</v>
      </c>
      <c r="F241" s="42">
        <v>0</v>
      </c>
      <c r="P241" s="43">
        <v>45558</v>
      </c>
      <c r="Q241" s="42">
        <v>341.05</v>
      </c>
      <c r="R241" s="42">
        <v>0</v>
      </c>
      <c r="S241" s="42">
        <v>0</v>
      </c>
      <c r="T241" s="42">
        <v>0</v>
      </c>
      <c r="U241" s="42">
        <v>0</v>
      </c>
      <c r="AF241" s="43">
        <v>45558</v>
      </c>
      <c r="AG241" s="42">
        <v>341.05</v>
      </c>
      <c r="AH241" s="42">
        <v>0</v>
      </c>
      <c r="AI241" s="42">
        <v>0</v>
      </c>
      <c r="AJ241" s="42">
        <v>0</v>
      </c>
      <c r="AK241" s="42">
        <v>0</v>
      </c>
    </row>
    <row r="242" spans="1:38" x14ac:dyDescent="0.35">
      <c r="A242" s="43">
        <v>45555</v>
      </c>
      <c r="B242" s="42">
        <v>341.15</v>
      </c>
      <c r="C242" s="42">
        <v>0</v>
      </c>
      <c r="D242" s="42">
        <v>0</v>
      </c>
      <c r="E242" s="42">
        <v>0</v>
      </c>
      <c r="F242" s="42">
        <v>0</v>
      </c>
      <c r="G242" s="40"/>
      <c r="P242" s="43">
        <v>45555</v>
      </c>
      <c r="Q242" s="42">
        <v>341.15</v>
      </c>
      <c r="R242" s="42">
        <v>0</v>
      </c>
      <c r="S242" s="42">
        <v>0</v>
      </c>
      <c r="T242" s="42">
        <v>0</v>
      </c>
      <c r="U242" s="42">
        <v>0</v>
      </c>
      <c r="V242" s="40"/>
      <c r="AF242" s="43">
        <v>45555</v>
      </c>
      <c r="AG242" s="42">
        <v>341.15</v>
      </c>
      <c r="AH242" s="42">
        <v>0</v>
      </c>
      <c r="AI242" s="42">
        <v>0</v>
      </c>
      <c r="AJ242" s="42">
        <v>0</v>
      </c>
      <c r="AK242" s="42">
        <v>0</v>
      </c>
      <c r="AL242" s="40"/>
    </row>
    <row r="243" spans="1:38" x14ac:dyDescent="0.35">
      <c r="A243" s="43">
        <v>45554</v>
      </c>
      <c r="B243" s="42">
        <v>334.9</v>
      </c>
      <c r="C243" s="42">
        <v>0</v>
      </c>
      <c r="D243" s="42">
        <v>0</v>
      </c>
      <c r="E243" s="42">
        <v>0</v>
      </c>
      <c r="F243" s="42">
        <v>0</v>
      </c>
      <c r="G243" s="40"/>
      <c r="P243" s="43">
        <v>45554</v>
      </c>
      <c r="Q243" s="42">
        <v>334.9</v>
      </c>
      <c r="R243" s="42">
        <v>0</v>
      </c>
      <c r="S243" s="42">
        <v>0</v>
      </c>
      <c r="T243" s="42">
        <v>0</v>
      </c>
      <c r="U243" s="42">
        <v>0</v>
      </c>
      <c r="V243" s="40"/>
      <c r="AF243" s="43">
        <v>45554</v>
      </c>
      <c r="AG243" s="42">
        <v>334.9</v>
      </c>
      <c r="AH243" s="42">
        <v>0</v>
      </c>
      <c r="AI243" s="42">
        <v>0</v>
      </c>
      <c r="AJ243" s="42">
        <v>0</v>
      </c>
      <c r="AK243" s="42">
        <v>0</v>
      </c>
      <c r="AL243" s="40"/>
    </row>
    <row r="244" spans="1:38" x14ac:dyDescent="0.35">
      <c r="A244" s="43">
        <v>45553</v>
      </c>
      <c r="B244" s="42">
        <v>334.2</v>
      </c>
      <c r="C244" s="42">
        <v>0</v>
      </c>
      <c r="D244" s="42">
        <v>0</v>
      </c>
      <c r="E244" s="42">
        <v>0</v>
      </c>
      <c r="F244" s="42">
        <v>0</v>
      </c>
      <c r="G244" s="40"/>
      <c r="P244" s="43">
        <v>45553</v>
      </c>
      <c r="Q244" s="42">
        <v>334.2</v>
      </c>
      <c r="R244" s="42">
        <v>0</v>
      </c>
      <c r="S244" s="42">
        <v>0</v>
      </c>
      <c r="T244" s="42">
        <v>0</v>
      </c>
      <c r="U244" s="42">
        <v>0</v>
      </c>
      <c r="V244" s="40"/>
      <c r="AF244" s="43">
        <v>45553</v>
      </c>
      <c r="AG244" s="42">
        <v>334.2</v>
      </c>
      <c r="AH244" s="42">
        <v>0</v>
      </c>
      <c r="AI244" s="42">
        <v>0</v>
      </c>
      <c r="AJ244" s="42">
        <v>0</v>
      </c>
      <c r="AK244" s="42">
        <v>0</v>
      </c>
      <c r="AL244" s="40"/>
    </row>
    <row r="245" spans="1:38" x14ac:dyDescent="0.35">
      <c r="A245" s="43">
        <v>45552</v>
      </c>
      <c r="B245" s="42">
        <v>336.65</v>
      </c>
      <c r="C245" s="42">
        <v>0</v>
      </c>
      <c r="D245" s="42">
        <v>0</v>
      </c>
      <c r="E245" s="42">
        <v>0</v>
      </c>
      <c r="F245" s="42">
        <v>0</v>
      </c>
      <c r="G245" s="40"/>
      <c r="P245" s="43">
        <v>45552</v>
      </c>
      <c r="Q245" s="42">
        <v>336.65</v>
      </c>
      <c r="R245" s="42">
        <v>0</v>
      </c>
      <c r="S245" s="42">
        <v>0</v>
      </c>
      <c r="T245" s="42">
        <v>0</v>
      </c>
      <c r="U245" s="42">
        <v>0</v>
      </c>
      <c r="V245" s="40"/>
      <c r="AF245" s="43">
        <v>45552</v>
      </c>
      <c r="AG245" s="42">
        <v>336.65</v>
      </c>
      <c r="AH245" s="42">
        <v>0</v>
      </c>
      <c r="AI245" s="42">
        <v>0</v>
      </c>
      <c r="AJ245" s="42">
        <v>0</v>
      </c>
      <c r="AK245" s="42">
        <v>0</v>
      </c>
      <c r="AL245" s="40"/>
    </row>
    <row r="246" spans="1:38" x14ac:dyDescent="0.35">
      <c r="A246" s="43">
        <v>45551</v>
      </c>
      <c r="B246" s="42">
        <v>338.35</v>
      </c>
      <c r="C246" s="42">
        <v>0</v>
      </c>
      <c r="D246" s="42">
        <v>0</v>
      </c>
      <c r="E246" s="42">
        <v>0</v>
      </c>
      <c r="F246" s="42">
        <v>0</v>
      </c>
      <c r="G246" s="40"/>
      <c r="P246" s="43">
        <v>45551</v>
      </c>
      <c r="Q246" s="42">
        <v>338.35</v>
      </c>
      <c r="R246" s="42">
        <v>0</v>
      </c>
      <c r="S246" s="42">
        <v>0</v>
      </c>
      <c r="T246" s="42">
        <v>0</v>
      </c>
      <c r="U246" s="42">
        <v>0</v>
      </c>
      <c r="V246" s="40"/>
      <c r="AF246" s="43">
        <v>45551</v>
      </c>
      <c r="AG246" s="42">
        <v>338.35</v>
      </c>
      <c r="AH246" s="42">
        <v>0</v>
      </c>
      <c r="AI246" s="42">
        <v>0</v>
      </c>
      <c r="AJ246" s="42">
        <v>0</v>
      </c>
      <c r="AK246" s="42">
        <v>0</v>
      </c>
      <c r="AL246" s="40"/>
    </row>
    <row r="247" spans="1:38" x14ac:dyDescent="0.35">
      <c r="A247" s="43">
        <v>45548</v>
      </c>
      <c r="B247" s="42">
        <v>337.1</v>
      </c>
      <c r="C247" s="42">
        <v>0</v>
      </c>
      <c r="D247" s="42">
        <v>0</v>
      </c>
      <c r="E247" s="42">
        <v>0</v>
      </c>
      <c r="F247" s="42">
        <v>0</v>
      </c>
      <c r="G247" s="40"/>
      <c r="P247" s="43">
        <v>45548</v>
      </c>
      <c r="Q247" s="42">
        <v>337.1</v>
      </c>
      <c r="R247" s="42">
        <v>0</v>
      </c>
      <c r="S247" s="42">
        <v>0</v>
      </c>
      <c r="T247" s="42">
        <v>0</v>
      </c>
      <c r="U247" s="42">
        <v>0</v>
      </c>
      <c r="V247" s="40"/>
      <c r="AF247" s="43">
        <v>45548</v>
      </c>
      <c r="AG247" s="42">
        <v>337.1</v>
      </c>
      <c r="AH247" s="42">
        <v>0</v>
      </c>
      <c r="AI247" s="42">
        <v>0</v>
      </c>
      <c r="AJ247" s="42">
        <v>0</v>
      </c>
      <c r="AK247" s="42">
        <v>0</v>
      </c>
      <c r="AL247" s="40"/>
    </row>
    <row r="248" spans="1:38" x14ac:dyDescent="0.35">
      <c r="A248" s="43">
        <v>45547</v>
      </c>
      <c r="B248" s="42">
        <v>337.8</v>
      </c>
      <c r="C248" s="42">
        <v>0</v>
      </c>
      <c r="D248" s="42">
        <v>0</v>
      </c>
      <c r="E248" s="42">
        <v>0</v>
      </c>
      <c r="F248" s="42">
        <v>0</v>
      </c>
      <c r="G248" s="40"/>
      <c r="P248" s="43">
        <v>45547</v>
      </c>
      <c r="Q248" s="42">
        <v>337.8</v>
      </c>
      <c r="R248" s="42">
        <v>0</v>
      </c>
      <c r="S248" s="42">
        <v>0</v>
      </c>
      <c r="T248" s="42">
        <v>0</v>
      </c>
      <c r="U248" s="42">
        <v>0</v>
      </c>
      <c r="V248" s="40"/>
      <c r="AF248" s="43">
        <v>45547</v>
      </c>
      <c r="AG248" s="42">
        <v>337.8</v>
      </c>
      <c r="AH248" s="42">
        <v>0</v>
      </c>
      <c r="AI248" s="42">
        <v>0</v>
      </c>
      <c r="AJ248" s="42">
        <v>0</v>
      </c>
      <c r="AK248" s="42">
        <v>0</v>
      </c>
      <c r="AL248" s="40"/>
    </row>
    <row r="249" spans="1:38" x14ac:dyDescent="0.35">
      <c r="A249" s="43">
        <v>45546</v>
      </c>
      <c r="B249" s="42">
        <v>332.85</v>
      </c>
      <c r="C249" s="42">
        <v>0</v>
      </c>
      <c r="D249" s="42">
        <v>0</v>
      </c>
      <c r="E249" s="42">
        <v>0</v>
      </c>
      <c r="F249" s="42">
        <v>0</v>
      </c>
      <c r="G249" s="40"/>
      <c r="P249" s="43">
        <v>45546</v>
      </c>
      <c r="Q249" s="42">
        <v>332.85</v>
      </c>
      <c r="R249" s="42">
        <v>0</v>
      </c>
      <c r="S249" s="42">
        <v>0</v>
      </c>
      <c r="T249" s="42">
        <v>0</v>
      </c>
      <c r="U249" s="42">
        <v>0</v>
      </c>
      <c r="V249" s="40"/>
      <c r="AF249" s="43">
        <v>45546</v>
      </c>
      <c r="AG249" s="42">
        <v>332.85</v>
      </c>
      <c r="AH249" s="42">
        <v>0</v>
      </c>
      <c r="AI249" s="42">
        <v>0</v>
      </c>
      <c r="AJ249" s="42">
        <v>0</v>
      </c>
      <c r="AK249" s="42">
        <v>0</v>
      </c>
      <c r="AL249" s="40"/>
    </row>
    <row r="250" spans="1:38" x14ac:dyDescent="0.35">
      <c r="A250" s="43">
        <v>45545</v>
      </c>
      <c r="B250" s="42">
        <v>334.2</v>
      </c>
      <c r="C250" s="42">
        <v>0</v>
      </c>
      <c r="D250" s="42">
        <v>0</v>
      </c>
      <c r="E250" s="42">
        <v>0</v>
      </c>
      <c r="F250" s="42">
        <v>0</v>
      </c>
      <c r="G250" s="40"/>
      <c r="P250" s="43">
        <v>45545</v>
      </c>
      <c r="Q250" s="42">
        <v>334.2</v>
      </c>
      <c r="R250" s="42">
        <v>0</v>
      </c>
      <c r="S250" s="42">
        <v>0</v>
      </c>
      <c r="T250" s="42">
        <v>0</v>
      </c>
      <c r="U250" s="42">
        <v>0</v>
      </c>
      <c r="V250" s="40"/>
      <c r="AF250" s="43">
        <v>45545</v>
      </c>
      <c r="AG250" s="42">
        <v>334.2</v>
      </c>
      <c r="AH250" s="42">
        <v>0</v>
      </c>
      <c r="AI250" s="42">
        <v>0</v>
      </c>
      <c r="AJ250" s="42">
        <v>0</v>
      </c>
      <c r="AK250" s="42">
        <v>0</v>
      </c>
      <c r="AL250" s="40"/>
    </row>
    <row r="251" spans="1:38" x14ac:dyDescent="0.35">
      <c r="A251" s="43">
        <v>45544</v>
      </c>
      <c r="B251" s="42">
        <v>328.55</v>
      </c>
      <c r="C251" s="42">
        <v>0</v>
      </c>
      <c r="D251" s="42">
        <v>0</v>
      </c>
      <c r="E251" s="42">
        <v>0</v>
      </c>
      <c r="F251" s="42">
        <v>0</v>
      </c>
      <c r="G251" s="40"/>
      <c r="P251" s="43">
        <v>45544</v>
      </c>
      <c r="Q251" s="42">
        <v>328.55</v>
      </c>
      <c r="R251" s="42">
        <v>0</v>
      </c>
      <c r="S251" s="42">
        <v>0</v>
      </c>
      <c r="T251" s="42">
        <v>0</v>
      </c>
      <c r="U251" s="42">
        <v>0</v>
      </c>
      <c r="V251" s="40"/>
      <c r="AF251" s="43">
        <v>45544</v>
      </c>
      <c r="AG251" s="42">
        <v>328.55</v>
      </c>
      <c r="AH251" s="42">
        <v>0</v>
      </c>
      <c r="AI251" s="42">
        <v>0</v>
      </c>
      <c r="AJ251" s="42">
        <v>0</v>
      </c>
      <c r="AK251" s="42">
        <v>0</v>
      </c>
      <c r="AL251" s="40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BA31-87A9-424D-A09C-66FEFFF40339}">
  <dimension ref="A2:L9"/>
  <sheetViews>
    <sheetView workbookViewId="0">
      <selection activeCell="G19" sqref="G19"/>
    </sheetView>
  </sheetViews>
  <sheetFormatPr defaultRowHeight="14.5" x14ac:dyDescent="0.35"/>
  <cols>
    <col min="1" max="1" width="16" bestFit="1" customWidth="1"/>
    <col min="4" max="4" width="13.453125" bestFit="1" customWidth="1"/>
    <col min="7" max="7" width="15.54296875" bestFit="1" customWidth="1"/>
    <col min="8" max="8" width="10.36328125" bestFit="1" customWidth="1"/>
    <col min="11" max="11" width="17.08984375" bestFit="1" customWidth="1"/>
  </cols>
  <sheetData>
    <row r="2" spans="1:12" x14ac:dyDescent="0.35">
      <c r="A2" s="30" t="s">
        <v>221</v>
      </c>
      <c r="D2" s="30" t="s">
        <v>225</v>
      </c>
      <c r="G2" s="30" t="s">
        <v>229</v>
      </c>
      <c r="K2" s="30" t="s">
        <v>234</v>
      </c>
    </row>
    <row r="4" spans="1:12" x14ac:dyDescent="0.35">
      <c r="A4" s="28" t="s">
        <v>125</v>
      </c>
      <c r="B4" s="33">
        <f>'Income_Statement(5 years)'!F29/'Income_Statement(5 years)'!F7</f>
        <v>0.37057730726073335</v>
      </c>
      <c r="D4" s="28" t="s">
        <v>226</v>
      </c>
      <c r="E4" s="33">
        <f>'Balance_Sheet(5 years)'!F47/'Balance_Sheet(5 years)'!F21</f>
        <v>0.78411103082894107</v>
      </c>
      <c r="G4" s="28" t="s">
        <v>230</v>
      </c>
      <c r="H4" s="33">
        <f>'Balance_Sheet(5 years)'!F54/'Balance_Sheet(5 years)'!F7</f>
        <v>1.4202031867692742</v>
      </c>
      <c r="K4" s="28" t="s">
        <v>124</v>
      </c>
      <c r="L4" s="33">
        <f>FCFF_Projections!F4</f>
        <v>4314</v>
      </c>
    </row>
    <row r="5" spans="1:12" x14ac:dyDescent="0.35">
      <c r="A5" s="28" t="s">
        <v>222</v>
      </c>
      <c r="B5" s="33">
        <f>('Income_Statement(5 years)'!F20-'Income_Statement(5 years)'!F23)/'Income_Statement(5 years)'!F7</f>
        <v>0.67142480272855265</v>
      </c>
      <c r="D5" s="28" t="s">
        <v>227</v>
      </c>
      <c r="E5" s="33">
        <f>('Balance_Sheet(5 years)'!F47-'Balance_Sheet(5 years)'!F41)/'Balance_Sheet(5 years)'!F21</f>
        <v>0.74941150426988379</v>
      </c>
      <c r="G5" s="28" t="s">
        <v>231</v>
      </c>
      <c r="H5" s="33">
        <f>('Income_Statement(5 years)'!F20-'Income_Statement(5 years)'!F23)/'Income_Statement(5 years)'!F21</f>
        <v>2.9346123983576882</v>
      </c>
      <c r="K5" s="28" t="s">
        <v>233</v>
      </c>
      <c r="L5" s="33">
        <f>'Balance_Sheet(5 years)'!F41</f>
        <v>1377.82</v>
      </c>
    </row>
    <row r="6" spans="1:12" x14ac:dyDescent="0.35">
      <c r="A6" s="28" t="s">
        <v>223</v>
      </c>
      <c r="B6" s="33">
        <f>'Income_Statement(5 years)'!F29/'Balance_Sheet(5 years)'!F7</f>
        <v>0.16649635934898252</v>
      </c>
      <c r="D6" s="28" t="s">
        <v>228</v>
      </c>
      <c r="E6" s="33">
        <f>'Balance_Sheet(5 years)'!F43/'Balance_Sheet(5 years)'!F21</f>
        <v>0.16166853492706731</v>
      </c>
      <c r="G6" s="28" t="s">
        <v>232</v>
      </c>
      <c r="H6" s="33">
        <f>'Balance_Sheet(5 years)'!F54/'Balance_Sheet(5 years)'!F52</f>
        <v>0.49594485011301104</v>
      </c>
      <c r="K6" s="28" t="s">
        <v>235</v>
      </c>
      <c r="L6" s="33">
        <f>L4/L5</f>
        <v>3.1310330812442846</v>
      </c>
    </row>
    <row r="7" spans="1:12" x14ac:dyDescent="0.35">
      <c r="A7" s="28" t="s">
        <v>224</v>
      </c>
      <c r="B7" s="33">
        <f>'Income_Statement(5 years)'!F29/'Balance_Sheet(5 years)'!F52</f>
        <v>5.8141688985738037E-2</v>
      </c>
      <c r="K7" s="28" t="s">
        <v>236</v>
      </c>
      <c r="L7" s="33">
        <f>'Income_Statement(5 years)'!F5/NWC!F3</f>
        <v>5.6964204447805313</v>
      </c>
    </row>
    <row r="8" spans="1:12" x14ac:dyDescent="0.35">
      <c r="K8" s="28" t="s">
        <v>237</v>
      </c>
      <c r="L8" s="33">
        <f>L4/NWC!F8</f>
        <v>7.5993517474633601</v>
      </c>
    </row>
    <row r="9" spans="1:12" x14ac:dyDescent="0.35">
      <c r="K9" s="28" t="s">
        <v>238</v>
      </c>
      <c r="L9" s="33">
        <f>FCFF_Projections!F3/'Balance_Sheet(5 years)'!F52</f>
        <v>0.15689489843702251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05F7E-736A-4DAA-A78F-919485611535}">
  <dimension ref="A2:J26"/>
  <sheetViews>
    <sheetView workbookViewId="0">
      <selection activeCell="E9" sqref="E9"/>
    </sheetView>
  </sheetViews>
  <sheetFormatPr defaultRowHeight="14.5" x14ac:dyDescent="0.35"/>
  <cols>
    <col min="1" max="1" width="15.54296875" bestFit="1" customWidth="1"/>
    <col min="2" max="2" width="11.54296875" bestFit="1" customWidth="1"/>
    <col min="3" max="3" width="11.1796875" bestFit="1" customWidth="1"/>
    <col min="4" max="4" width="6.6328125" bestFit="1" customWidth="1"/>
    <col min="5" max="5" width="15.7265625" bestFit="1" customWidth="1"/>
    <col min="6" max="6" width="16.36328125" bestFit="1" customWidth="1"/>
  </cols>
  <sheetData>
    <row r="2" spans="1:10" x14ac:dyDescent="0.35">
      <c r="A2" s="30" t="s">
        <v>244</v>
      </c>
      <c r="F2" s="30" t="s">
        <v>262</v>
      </c>
    </row>
    <row r="3" spans="1:10" x14ac:dyDescent="0.35">
      <c r="A3" s="31" t="s">
        <v>252</v>
      </c>
      <c r="B3" s="31" t="s">
        <v>216</v>
      </c>
      <c r="C3" s="32"/>
      <c r="D3" s="32"/>
      <c r="E3" s="32"/>
      <c r="F3" s="31" t="s">
        <v>246</v>
      </c>
      <c r="G3" s="31" t="s">
        <v>255</v>
      </c>
      <c r="H3" s="31" t="s">
        <v>262</v>
      </c>
      <c r="I3" s="31" t="s">
        <v>263</v>
      </c>
      <c r="J3" s="31" t="s">
        <v>264</v>
      </c>
    </row>
    <row r="4" spans="1:10" x14ac:dyDescent="0.35">
      <c r="A4" s="28" t="s">
        <v>240</v>
      </c>
      <c r="B4" s="28">
        <v>292.5</v>
      </c>
      <c r="F4" s="28" t="s">
        <v>247</v>
      </c>
      <c r="G4" s="28">
        <v>284.5</v>
      </c>
      <c r="H4" s="28">
        <v>1.25</v>
      </c>
      <c r="I4" s="28">
        <v>1.05</v>
      </c>
      <c r="J4" s="28" t="s">
        <v>265</v>
      </c>
    </row>
    <row r="5" spans="1:10" x14ac:dyDescent="0.35">
      <c r="A5" s="28" t="s">
        <v>241</v>
      </c>
      <c r="B5" s="28">
        <v>190.2</v>
      </c>
      <c r="F5" s="28" t="s">
        <v>248</v>
      </c>
      <c r="G5" s="28">
        <v>283.2</v>
      </c>
      <c r="H5" s="28">
        <v>1.1200000000000001</v>
      </c>
      <c r="I5" s="28">
        <v>1.01</v>
      </c>
      <c r="J5" s="28" t="s">
        <v>265</v>
      </c>
    </row>
    <row r="6" spans="1:10" x14ac:dyDescent="0.35">
      <c r="A6" s="28" t="s">
        <v>253</v>
      </c>
      <c r="B6" s="28">
        <v>292.5</v>
      </c>
      <c r="F6" s="28" t="s">
        <v>249</v>
      </c>
      <c r="G6" s="28">
        <v>285.10000000000002</v>
      </c>
      <c r="H6" s="28">
        <v>0.98</v>
      </c>
      <c r="I6" s="28">
        <v>0.95</v>
      </c>
      <c r="J6" s="28" t="s">
        <v>265</v>
      </c>
    </row>
    <row r="7" spans="1:10" x14ac:dyDescent="0.35">
      <c r="A7" s="28" t="s">
        <v>254</v>
      </c>
      <c r="B7" s="28">
        <v>90</v>
      </c>
      <c r="F7" s="28" t="s">
        <v>250</v>
      </c>
      <c r="G7" s="28">
        <v>280.60000000000002</v>
      </c>
      <c r="H7" s="28">
        <v>0.67</v>
      </c>
      <c r="I7" s="28">
        <v>0.6</v>
      </c>
      <c r="J7" s="28" t="s">
        <v>265</v>
      </c>
    </row>
    <row r="8" spans="1:10" x14ac:dyDescent="0.35">
      <c r="A8" s="28" t="s">
        <v>242</v>
      </c>
      <c r="B8" s="28">
        <v>0.48</v>
      </c>
      <c r="C8" s="32"/>
      <c r="F8" s="28" t="s">
        <v>251</v>
      </c>
      <c r="G8" s="28">
        <v>278.3</v>
      </c>
      <c r="H8" s="28">
        <v>0.45</v>
      </c>
      <c r="I8" s="28">
        <v>0.4</v>
      </c>
      <c r="J8" s="28" t="s">
        <v>265</v>
      </c>
    </row>
    <row r="9" spans="1:10" x14ac:dyDescent="0.35">
      <c r="A9" s="28" t="s">
        <v>243</v>
      </c>
      <c r="B9" s="28">
        <v>230000</v>
      </c>
      <c r="F9" s="28" t="s">
        <v>266</v>
      </c>
      <c r="G9" s="28">
        <v>272</v>
      </c>
      <c r="H9" s="28">
        <v>-0.28000000000000003</v>
      </c>
      <c r="I9" s="28">
        <v>0.5</v>
      </c>
      <c r="J9" s="28" t="s">
        <v>267</v>
      </c>
    </row>
    <row r="11" spans="1:10" x14ac:dyDescent="0.35">
      <c r="A11" s="30" t="s">
        <v>245</v>
      </c>
      <c r="F11" s="30" t="s">
        <v>269</v>
      </c>
    </row>
    <row r="12" spans="1:10" x14ac:dyDescent="0.35">
      <c r="A12" s="31" t="s">
        <v>246</v>
      </c>
      <c r="B12" s="31" t="s">
        <v>255</v>
      </c>
      <c r="C12" s="31" t="s">
        <v>256</v>
      </c>
      <c r="D12" s="31" t="s">
        <v>257</v>
      </c>
      <c r="F12" s="31" t="s">
        <v>246</v>
      </c>
      <c r="G12" s="31" t="s">
        <v>255</v>
      </c>
      <c r="H12" s="31" t="s">
        <v>268</v>
      </c>
    </row>
    <row r="13" spans="1:10" x14ac:dyDescent="0.35">
      <c r="A13" s="28" t="s">
        <v>247</v>
      </c>
      <c r="B13" s="28">
        <v>284.5</v>
      </c>
      <c r="C13" s="28">
        <v>1850000</v>
      </c>
      <c r="D13" s="28">
        <v>42.5</v>
      </c>
      <c r="F13" s="28" t="s">
        <v>247</v>
      </c>
      <c r="G13" s="28">
        <v>284.5</v>
      </c>
      <c r="H13" s="28">
        <v>4.2</v>
      </c>
    </row>
    <row r="14" spans="1:10" x14ac:dyDescent="0.35">
      <c r="A14" s="28" t="s">
        <v>248</v>
      </c>
      <c r="B14" s="28">
        <v>283.2</v>
      </c>
      <c r="C14" s="28">
        <v>1940000</v>
      </c>
      <c r="D14" s="28">
        <v>41.2</v>
      </c>
      <c r="F14" s="28" t="s">
        <v>248</v>
      </c>
      <c r="G14" s="28">
        <v>283.2</v>
      </c>
      <c r="H14" s="28">
        <v>3.8</v>
      </c>
    </row>
    <row r="15" spans="1:10" x14ac:dyDescent="0.35">
      <c r="A15" s="28" t="s">
        <v>249</v>
      </c>
      <c r="B15" s="28">
        <v>285.10000000000002</v>
      </c>
      <c r="C15" s="28">
        <v>2100000</v>
      </c>
      <c r="D15" s="28">
        <v>40.799999999999997</v>
      </c>
      <c r="F15" s="28" t="s">
        <v>249</v>
      </c>
      <c r="G15" s="28">
        <v>285.10000000000002</v>
      </c>
      <c r="H15" s="28">
        <v>3.5</v>
      </c>
    </row>
    <row r="16" spans="1:10" x14ac:dyDescent="0.35">
      <c r="A16" s="28" t="s">
        <v>250</v>
      </c>
      <c r="B16" s="28">
        <v>280.60000000000002</v>
      </c>
      <c r="C16" s="28">
        <v>1760000</v>
      </c>
      <c r="D16" s="28">
        <v>39.700000000000003</v>
      </c>
      <c r="F16" s="28" t="s">
        <v>250</v>
      </c>
      <c r="G16" s="28">
        <v>280.60000000000002</v>
      </c>
      <c r="H16" s="28">
        <v>2.1</v>
      </c>
    </row>
    <row r="17" spans="1:8" x14ac:dyDescent="0.35">
      <c r="A17" s="28" t="s">
        <v>251</v>
      </c>
      <c r="B17" s="28">
        <v>278.3</v>
      </c>
      <c r="C17" s="28">
        <v>1820000</v>
      </c>
      <c r="D17" s="28">
        <v>37.5</v>
      </c>
      <c r="F17" s="28" t="s">
        <v>251</v>
      </c>
      <c r="G17" s="28">
        <v>278.3</v>
      </c>
      <c r="H17" s="28">
        <v>1.9</v>
      </c>
    </row>
    <row r="18" spans="1:8" x14ac:dyDescent="0.35">
      <c r="A18" s="28" t="s">
        <v>258</v>
      </c>
      <c r="B18" s="28">
        <v>265</v>
      </c>
      <c r="C18" s="28">
        <v>1540000</v>
      </c>
      <c r="D18" s="28">
        <v>28.6</v>
      </c>
      <c r="F18" s="28" t="s">
        <v>258</v>
      </c>
      <c r="G18" s="28">
        <v>265</v>
      </c>
      <c r="H18" s="28">
        <v>-4.5</v>
      </c>
    </row>
    <row r="19" spans="1:8" x14ac:dyDescent="0.35">
      <c r="A19" s="28" t="s">
        <v>259</v>
      </c>
      <c r="B19" s="28">
        <v>263.5</v>
      </c>
      <c r="C19" s="28">
        <v>1490000</v>
      </c>
      <c r="D19" s="28">
        <v>29.4</v>
      </c>
      <c r="F19" s="28" t="s">
        <v>259</v>
      </c>
      <c r="G19" s="28">
        <v>263.5</v>
      </c>
      <c r="H19" s="28">
        <v>-4.8</v>
      </c>
    </row>
    <row r="20" spans="1:8" x14ac:dyDescent="0.35">
      <c r="A20" s="28" t="s">
        <v>260</v>
      </c>
      <c r="B20" s="28">
        <v>264.2</v>
      </c>
      <c r="C20" s="28">
        <v>1530000</v>
      </c>
      <c r="D20" s="28">
        <v>27.9</v>
      </c>
    </row>
    <row r="21" spans="1:8" x14ac:dyDescent="0.35">
      <c r="A21" s="28" t="s">
        <v>261</v>
      </c>
      <c r="B21" s="28">
        <v>263.89999999999998</v>
      </c>
      <c r="C21" s="28">
        <v>1500000</v>
      </c>
      <c r="D21" s="28">
        <v>26.5</v>
      </c>
      <c r="F21" s="30" t="s">
        <v>274</v>
      </c>
    </row>
    <row r="22" spans="1:8" x14ac:dyDescent="0.35">
      <c r="F22" s="31" t="s">
        <v>252</v>
      </c>
      <c r="G22" s="31" t="s">
        <v>216</v>
      </c>
    </row>
    <row r="23" spans="1:8" x14ac:dyDescent="0.35">
      <c r="F23" s="28" t="s">
        <v>270</v>
      </c>
      <c r="G23" s="28">
        <v>310</v>
      </c>
    </row>
    <row r="24" spans="1:8" x14ac:dyDescent="0.35">
      <c r="F24" s="28" t="s">
        <v>271</v>
      </c>
      <c r="G24" s="28">
        <v>280</v>
      </c>
    </row>
    <row r="25" spans="1:8" x14ac:dyDescent="0.35">
      <c r="F25" s="28" t="s">
        <v>272</v>
      </c>
      <c r="G25" s="28">
        <v>345</v>
      </c>
    </row>
    <row r="26" spans="1:8" x14ac:dyDescent="0.35">
      <c r="F26" s="28" t="s">
        <v>273</v>
      </c>
      <c r="G26" s="28" t="s">
        <v>265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790D7-F83E-412C-AFB9-C93160BDCC0F}">
  <dimension ref="A1:F56"/>
  <sheetViews>
    <sheetView workbookViewId="0">
      <selection activeCell="K50" sqref="K50"/>
    </sheetView>
  </sheetViews>
  <sheetFormatPr defaultRowHeight="14.5" x14ac:dyDescent="0.35"/>
  <cols>
    <col min="1" max="1" width="47.26953125" bestFit="1" customWidth="1"/>
    <col min="2" max="2" width="9.81640625" bestFit="1" customWidth="1"/>
  </cols>
  <sheetData>
    <row r="1" spans="1:6" x14ac:dyDescent="0.35">
      <c r="A1" s="1" t="s">
        <v>1</v>
      </c>
      <c r="B1" s="1" t="s">
        <v>6</v>
      </c>
      <c r="C1" s="1" t="s">
        <v>5</v>
      </c>
      <c r="D1" s="1" t="s">
        <v>4</v>
      </c>
      <c r="E1" s="1" t="s">
        <v>3</v>
      </c>
      <c r="F1" s="1" t="s">
        <v>2</v>
      </c>
    </row>
    <row r="2" spans="1:6" x14ac:dyDescent="0.35">
      <c r="A2" t="s">
        <v>26</v>
      </c>
    </row>
    <row r="3" spans="1:6" x14ac:dyDescent="0.35">
      <c r="A3" s="2" t="s">
        <v>27</v>
      </c>
    </row>
    <row r="4" spans="1:6" x14ac:dyDescent="0.35">
      <c r="A4" t="s">
        <v>28</v>
      </c>
      <c r="B4">
        <v>5231.59</v>
      </c>
      <c r="C4">
        <v>6975.45</v>
      </c>
      <c r="D4">
        <v>6975.45</v>
      </c>
      <c r="E4">
        <v>9300.6</v>
      </c>
      <c r="F4">
        <v>9300.6</v>
      </c>
    </row>
    <row r="5" spans="1:6" x14ac:dyDescent="0.35">
      <c r="A5" t="s">
        <v>29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5">
      <c r="A6" t="s">
        <v>30</v>
      </c>
      <c r="B6">
        <v>64347.25</v>
      </c>
      <c r="C6">
        <v>69176.12</v>
      </c>
      <c r="D6">
        <v>75868.73</v>
      </c>
      <c r="E6">
        <v>77566.45</v>
      </c>
      <c r="F6">
        <v>82915.05</v>
      </c>
    </row>
    <row r="7" spans="1:6" x14ac:dyDescent="0.35">
      <c r="A7" t="s">
        <v>31</v>
      </c>
      <c r="B7">
        <v>69578.84</v>
      </c>
      <c r="C7">
        <v>76151.570000000007</v>
      </c>
      <c r="D7">
        <v>82844.179999999993</v>
      </c>
      <c r="E7">
        <v>86867.05</v>
      </c>
      <c r="F7">
        <v>92215.65</v>
      </c>
    </row>
    <row r="8" spans="1:6" x14ac:dyDescent="0.35">
      <c r="A8" s="2" t="s">
        <v>32</v>
      </c>
    </row>
    <row r="9" spans="1:6" x14ac:dyDescent="0.35">
      <c r="A9" t="s">
        <v>33</v>
      </c>
      <c r="B9">
        <v>90758.49</v>
      </c>
      <c r="C9">
        <v>81919.460000000006</v>
      </c>
      <c r="D9">
        <v>74826.05</v>
      </c>
      <c r="E9">
        <v>64315.5</v>
      </c>
      <c r="F9">
        <v>56323.58</v>
      </c>
    </row>
    <row r="10" spans="1:6" x14ac:dyDescent="0.35">
      <c r="A10" t="s">
        <v>34</v>
      </c>
      <c r="B10">
        <v>38321.58</v>
      </c>
      <c r="C10">
        <v>32279.94</v>
      </c>
      <c r="D10">
        <v>39065.24</v>
      </c>
      <c r="E10">
        <v>40751.449999999997</v>
      </c>
      <c r="F10">
        <v>53534.37</v>
      </c>
    </row>
    <row r="11" spans="1:6" x14ac:dyDescent="0.35">
      <c r="A11" t="s">
        <v>35</v>
      </c>
      <c r="B11">
        <v>11941.88</v>
      </c>
      <c r="C11">
        <v>11424.78</v>
      </c>
      <c r="D11">
        <v>10619.9</v>
      </c>
      <c r="E11">
        <v>9981.4</v>
      </c>
      <c r="F11">
        <v>10038.68</v>
      </c>
    </row>
    <row r="12" spans="1:6" x14ac:dyDescent="0.35">
      <c r="A12" t="s">
        <v>36</v>
      </c>
      <c r="B12">
        <v>13686.26</v>
      </c>
      <c r="C12">
        <v>13305.47</v>
      </c>
      <c r="D12">
        <v>13986.92</v>
      </c>
      <c r="E12">
        <v>12125.6</v>
      </c>
      <c r="F12">
        <v>11528.4</v>
      </c>
    </row>
    <row r="13" spans="1:6" x14ac:dyDescent="0.35">
      <c r="A13" t="s">
        <v>37</v>
      </c>
    </row>
    <row r="14" spans="1:6" x14ac:dyDescent="0.35">
      <c r="A14" t="s">
        <v>38</v>
      </c>
      <c r="B14">
        <v>461.93</v>
      </c>
      <c r="C14">
        <v>517.04999999999995</v>
      </c>
      <c r="D14">
        <v>577.61</v>
      </c>
      <c r="E14">
        <v>643.11</v>
      </c>
      <c r="F14">
        <v>723.77</v>
      </c>
    </row>
    <row r="15" spans="1:6" x14ac:dyDescent="0.35">
      <c r="A15" t="s">
        <v>39</v>
      </c>
      <c r="B15">
        <v>155170.14000000001</v>
      </c>
      <c r="C15">
        <v>139446.70000000001</v>
      </c>
      <c r="D15">
        <v>139075.72</v>
      </c>
      <c r="E15">
        <v>127817.06</v>
      </c>
      <c r="F15">
        <v>132148.79999999999</v>
      </c>
    </row>
    <row r="16" spans="1:6" x14ac:dyDescent="0.35">
      <c r="A16" s="2" t="s">
        <v>40</v>
      </c>
    </row>
    <row r="17" spans="1:6" x14ac:dyDescent="0.35">
      <c r="A17" t="s">
        <v>41</v>
      </c>
      <c r="B17">
        <v>186.3</v>
      </c>
      <c r="C17">
        <v>266.14</v>
      </c>
      <c r="D17">
        <v>325.02</v>
      </c>
      <c r="E17">
        <v>354.07</v>
      </c>
      <c r="F17">
        <v>567.67999999999995</v>
      </c>
    </row>
    <row r="18" spans="1:6" x14ac:dyDescent="0.35">
      <c r="A18" t="s">
        <v>42</v>
      </c>
      <c r="B18">
        <v>26275.61</v>
      </c>
      <c r="C18">
        <v>25780.92</v>
      </c>
      <c r="D18">
        <v>22532.63</v>
      </c>
      <c r="E18">
        <v>27106.35</v>
      </c>
      <c r="F18">
        <v>26458.69</v>
      </c>
    </row>
    <row r="19" spans="1:6" x14ac:dyDescent="0.35">
      <c r="A19" t="s">
        <v>43</v>
      </c>
      <c r="B19">
        <v>1800</v>
      </c>
      <c r="C19">
        <v>5300</v>
      </c>
      <c r="D19">
        <v>2622.61</v>
      </c>
      <c r="E19">
        <v>2693.52</v>
      </c>
      <c r="F19">
        <v>5709.36</v>
      </c>
    </row>
    <row r="20" spans="1:6" x14ac:dyDescent="0.35">
      <c r="A20" t="s">
        <v>44</v>
      </c>
      <c r="B20">
        <v>9899.84</v>
      </c>
      <c r="C20">
        <v>13137.1</v>
      </c>
      <c r="D20">
        <v>11996.06</v>
      </c>
      <c r="E20">
        <v>6758.67</v>
      </c>
      <c r="F20">
        <v>6971.44</v>
      </c>
    </row>
    <row r="21" spans="1:6" x14ac:dyDescent="0.35">
      <c r="A21" t="s">
        <v>45</v>
      </c>
      <c r="B21">
        <v>38161.75</v>
      </c>
      <c r="C21">
        <v>44484.160000000003</v>
      </c>
      <c r="D21">
        <v>37476.32</v>
      </c>
      <c r="E21">
        <v>36912.61</v>
      </c>
      <c r="F21">
        <v>39707.17</v>
      </c>
    </row>
    <row r="22" spans="1:6" x14ac:dyDescent="0.35">
      <c r="A22" t="s">
        <v>46</v>
      </c>
    </row>
    <row r="23" spans="1:6" x14ac:dyDescent="0.35">
      <c r="A23" t="s">
        <v>47</v>
      </c>
      <c r="B23">
        <v>262910.73</v>
      </c>
      <c r="C23">
        <v>260082.43</v>
      </c>
      <c r="D23">
        <v>259396.22</v>
      </c>
      <c r="E23">
        <v>251596.72</v>
      </c>
      <c r="F23">
        <v>264071.62</v>
      </c>
    </row>
    <row r="24" spans="1:6" x14ac:dyDescent="0.35">
      <c r="A24" s="2" t="s">
        <v>48</v>
      </c>
    </row>
    <row r="25" spans="1:6" x14ac:dyDescent="0.35">
      <c r="A25" s="2" t="s">
        <v>49</v>
      </c>
    </row>
    <row r="26" spans="1:6" x14ac:dyDescent="0.35">
      <c r="A26" t="s">
        <v>50</v>
      </c>
      <c r="B26">
        <v>234284.32</v>
      </c>
      <c r="C26">
        <v>249953.7</v>
      </c>
      <c r="D26">
        <v>255823.8</v>
      </c>
      <c r="E26">
        <v>258805.36</v>
      </c>
      <c r="F26">
        <v>262459.74</v>
      </c>
    </row>
    <row r="27" spans="1:6" x14ac:dyDescent="0.35">
      <c r="A27" t="s">
        <v>51</v>
      </c>
      <c r="B27">
        <v>57340.82</v>
      </c>
      <c r="C27">
        <v>70221.94</v>
      </c>
      <c r="D27">
        <v>83546.25</v>
      </c>
      <c r="E27">
        <v>96104.85</v>
      </c>
      <c r="F27">
        <v>108824.88</v>
      </c>
    </row>
    <row r="28" spans="1:6" x14ac:dyDescent="0.35">
      <c r="A28" t="s">
        <v>52</v>
      </c>
    </row>
    <row r="29" spans="1:6" x14ac:dyDescent="0.35">
      <c r="A29" s="10" t="s">
        <v>53</v>
      </c>
      <c r="B29">
        <v>176943.5</v>
      </c>
      <c r="C29">
        <v>179731.76</v>
      </c>
      <c r="D29">
        <v>172277.55</v>
      </c>
      <c r="E29">
        <v>162700.51</v>
      </c>
      <c r="F29">
        <v>153634.85999999999</v>
      </c>
    </row>
    <row r="30" spans="1:6" x14ac:dyDescent="0.35">
      <c r="A30" t="s">
        <v>54</v>
      </c>
    </row>
    <row r="31" spans="1:6" x14ac:dyDescent="0.35">
      <c r="A31" t="s">
        <v>55</v>
      </c>
      <c r="B31">
        <v>17896.669999999998</v>
      </c>
      <c r="C31">
        <v>7344.46</v>
      </c>
      <c r="D31">
        <v>7668.13</v>
      </c>
      <c r="E31">
        <v>9581.16</v>
      </c>
      <c r="F31">
        <v>12166.85</v>
      </c>
    </row>
    <row r="32" spans="1:6" x14ac:dyDescent="0.35">
      <c r="A32" t="s">
        <v>56</v>
      </c>
      <c r="B32">
        <v>74.86</v>
      </c>
      <c r="C32">
        <v>31.53</v>
      </c>
      <c r="D32">
        <v>31.08</v>
      </c>
      <c r="E32">
        <v>91.01</v>
      </c>
      <c r="F32">
        <v>232.19</v>
      </c>
    </row>
    <row r="33" spans="1:6" x14ac:dyDescent="0.35">
      <c r="A33" t="s">
        <v>57</v>
      </c>
    </row>
    <row r="34" spans="1:6" x14ac:dyDescent="0.35">
      <c r="A34" t="s">
        <v>58</v>
      </c>
      <c r="B34">
        <v>0.03</v>
      </c>
      <c r="E34">
        <v>1.84</v>
      </c>
      <c r="F34">
        <v>1.87</v>
      </c>
    </row>
    <row r="35" spans="1:6" x14ac:dyDescent="0.35">
      <c r="A35" t="s">
        <v>59</v>
      </c>
      <c r="B35">
        <v>4265.3599999999997</v>
      </c>
      <c r="C35">
        <v>7228.53</v>
      </c>
      <c r="D35">
        <v>7414.95</v>
      </c>
      <c r="E35">
        <v>8731.6299999999992</v>
      </c>
      <c r="F35">
        <v>11312.3</v>
      </c>
    </row>
    <row r="36" spans="1:6" x14ac:dyDescent="0.35">
      <c r="A36" t="s">
        <v>60</v>
      </c>
      <c r="B36">
        <v>10943.69</v>
      </c>
      <c r="C36">
        <v>14762.33</v>
      </c>
      <c r="D36">
        <v>18673.71</v>
      </c>
      <c r="E36">
        <v>22713.55</v>
      </c>
      <c r="F36">
        <v>36915.78</v>
      </c>
    </row>
    <row r="37" spans="1:6" x14ac:dyDescent="0.35">
      <c r="A37" t="s">
        <v>61</v>
      </c>
      <c r="B37">
        <v>19194.93</v>
      </c>
      <c r="C37">
        <v>18422.68</v>
      </c>
      <c r="D37">
        <v>18919.330000000002</v>
      </c>
      <c r="E37">
        <v>18281.3</v>
      </c>
      <c r="F37">
        <v>18672.939999999999</v>
      </c>
    </row>
    <row r="38" spans="1:6" x14ac:dyDescent="0.35">
      <c r="A38" t="s">
        <v>62</v>
      </c>
      <c r="B38">
        <v>229319.04000000001</v>
      </c>
      <c r="C38">
        <v>227521.29</v>
      </c>
      <c r="D38">
        <v>224984.75</v>
      </c>
      <c r="E38">
        <v>222101</v>
      </c>
      <c r="F38">
        <v>232936.79</v>
      </c>
    </row>
    <row r="39" spans="1:6" x14ac:dyDescent="0.35">
      <c r="A39" s="2" t="s">
        <v>63</v>
      </c>
    </row>
    <row r="40" spans="1:6" x14ac:dyDescent="0.35">
      <c r="A40" t="s">
        <v>64</v>
      </c>
      <c r="B40">
        <v>952.18</v>
      </c>
      <c r="C40">
        <v>15.86</v>
      </c>
      <c r="D40">
        <v>260.86</v>
      </c>
      <c r="E40">
        <v>869.12</v>
      </c>
    </row>
    <row r="41" spans="1:6" x14ac:dyDescent="0.35">
      <c r="A41" t="s">
        <v>65</v>
      </c>
      <c r="B41">
        <v>1362.82</v>
      </c>
      <c r="C41">
        <v>1352.6</v>
      </c>
      <c r="D41">
        <v>1323.55</v>
      </c>
      <c r="E41">
        <v>1303.73</v>
      </c>
      <c r="F41">
        <v>1377.82</v>
      </c>
    </row>
    <row r="42" spans="1:6" x14ac:dyDescent="0.35">
      <c r="A42" t="s">
        <v>66</v>
      </c>
      <c r="B42">
        <v>8470.2000000000007</v>
      </c>
      <c r="C42">
        <v>8836.81</v>
      </c>
      <c r="D42">
        <v>14304.13</v>
      </c>
      <c r="E42">
        <v>10825.8</v>
      </c>
      <c r="F42">
        <v>7273.25</v>
      </c>
    </row>
    <row r="43" spans="1:6" x14ac:dyDescent="0.35">
      <c r="A43" t="s">
        <v>67</v>
      </c>
      <c r="B43">
        <v>5273.54</v>
      </c>
      <c r="C43">
        <v>2971.04</v>
      </c>
      <c r="D43">
        <v>4734.4399999999996</v>
      </c>
      <c r="E43">
        <v>5026.7299999999996</v>
      </c>
      <c r="F43">
        <v>6419.4</v>
      </c>
    </row>
    <row r="44" spans="1:6" x14ac:dyDescent="0.35">
      <c r="A44" t="s">
        <v>68</v>
      </c>
      <c r="B44">
        <v>935.69</v>
      </c>
      <c r="C44">
        <v>660.41</v>
      </c>
      <c r="D44">
        <v>752.63</v>
      </c>
      <c r="E44">
        <v>413.69</v>
      </c>
      <c r="F44">
        <v>542.41</v>
      </c>
    </row>
    <row r="45" spans="1:6" x14ac:dyDescent="0.35">
      <c r="A45" t="s">
        <v>69</v>
      </c>
      <c r="B45">
        <v>16336.4</v>
      </c>
      <c r="C45">
        <v>18479.419999999998</v>
      </c>
      <c r="D45">
        <v>13035.86</v>
      </c>
      <c r="E45">
        <v>11056.65</v>
      </c>
      <c r="F45">
        <v>15521.95</v>
      </c>
    </row>
    <row r="46" spans="1:6" x14ac:dyDescent="0.35">
      <c r="A46" t="s">
        <v>70</v>
      </c>
    </row>
    <row r="47" spans="1:6" x14ac:dyDescent="0.35">
      <c r="A47" t="s">
        <v>71</v>
      </c>
      <c r="B47">
        <v>33330.83</v>
      </c>
      <c r="C47">
        <v>32316.14</v>
      </c>
      <c r="D47">
        <v>34411.47</v>
      </c>
      <c r="E47">
        <v>29495.72</v>
      </c>
      <c r="F47">
        <v>31134.83</v>
      </c>
    </row>
    <row r="48" spans="1:6" x14ac:dyDescent="0.35">
      <c r="A48" t="s">
        <v>72</v>
      </c>
      <c r="B48">
        <v>260.86</v>
      </c>
      <c r="C48">
        <v>245</v>
      </c>
    </row>
    <row r="49" spans="1:6" x14ac:dyDescent="0.35">
      <c r="A49" t="s">
        <v>73</v>
      </c>
      <c r="B49">
        <v>-4830.92</v>
      </c>
      <c r="C49">
        <v>-12168.02</v>
      </c>
      <c r="D49">
        <v>-3064.85</v>
      </c>
      <c r="E49">
        <v>-7416.89</v>
      </c>
      <c r="F49">
        <v>-8572.34</v>
      </c>
    </row>
    <row r="50" spans="1:6" x14ac:dyDescent="0.35">
      <c r="A50" t="s">
        <v>74</v>
      </c>
      <c r="B50">
        <v>32378.65</v>
      </c>
      <c r="C50">
        <v>32300.28</v>
      </c>
      <c r="D50">
        <v>34150.61</v>
      </c>
      <c r="E50">
        <v>28626.6</v>
      </c>
      <c r="F50">
        <v>31134.83</v>
      </c>
    </row>
    <row r="51" spans="1:6" x14ac:dyDescent="0.35">
      <c r="A51" t="s">
        <v>75</v>
      </c>
    </row>
    <row r="52" spans="1:6" x14ac:dyDescent="0.35">
      <c r="A52" t="s">
        <v>76</v>
      </c>
      <c r="B52">
        <v>262910.73</v>
      </c>
      <c r="C52">
        <v>260082.43</v>
      </c>
      <c r="D52">
        <v>259396.22</v>
      </c>
      <c r="E52">
        <v>251596.72</v>
      </c>
      <c r="F52">
        <v>264071.62</v>
      </c>
    </row>
    <row r="53" spans="1:6" x14ac:dyDescent="0.35">
      <c r="A53" t="s">
        <v>77</v>
      </c>
      <c r="B53">
        <v>8238.5300000000007</v>
      </c>
      <c r="C53">
        <v>9374.49</v>
      </c>
      <c r="D53">
        <v>7234.79</v>
      </c>
      <c r="E53">
        <v>5800.48</v>
      </c>
      <c r="F53">
        <v>7251.19</v>
      </c>
    </row>
    <row r="54" spans="1:6" x14ac:dyDescent="0.35">
      <c r="A54" t="s">
        <v>78</v>
      </c>
      <c r="B54">
        <v>143051.48000000001</v>
      </c>
      <c r="C54">
        <v>134665.26999999999</v>
      </c>
      <c r="D54">
        <v>128517.51</v>
      </c>
      <c r="E54">
        <v>123448.62</v>
      </c>
      <c r="F54">
        <v>130964.96</v>
      </c>
    </row>
    <row r="55" spans="1:6" x14ac:dyDescent="0.35">
      <c r="A55" t="s">
        <v>79</v>
      </c>
      <c r="B55">
        <v>133</v>
      </c>
      <c r="C55">
        <v>109.17</v>
      </c>
      <c r="D55">
        <v>118.77</v>
      </c>
      <c r="E55">
        <v>93.4</v>
      </c>
      <c r="F55">
        <v>99.15</v>
      </c>
    </row>
    <row r="56" spans="1:6" x14ac:dyDescent="0.35">
      <c r="A56" t="s">
        <v>80</v>
      </c>
      <c r="B56">
        <v>74.81</v>
      </c>
      <c r="C56">
        <v>81.88</v>
      </c>
      <c r="D56">
        <v>89.07</v>
      </c>
      <c r="E56">
        <v>93.4</v>
      </c>
      <c r="F56">
        <v>99.15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5DFC-32EE-4B01-9247-B88B5A467ED2}">
  <dimension ref="A1:F42"/>
  <sheetViews>
    <sheetView topLeftCell="A4" workbookViewId="0">
      <selection activeCell="J13" sqref="J13"/>
    </sheetView>
  </sheetViews>
  <sheetFormatPr defaultRowHeight="14.5" x14ac:dyDescent="0.35"/>
  <cols>
    <col min="1" max="1" width="41" bestFit="1" customWidth="1"/>
  </cols>
  <sheetData>
    <row r="1" spans="1:6" x14ac:dyDescent="0.35">
      <c r="A1" s="1" t="s">
        <v>1</v>
      </c>
      <c r="B1" s="1" t="s">
        <v>6</v>
      </c>
      <c r="C1" s="1" t="s">
        <v>5</v>
      </c>
      <c r="D1" s="1" t="s">
        <v>4</v>
      </c>
      <c r="E1" s="1" t="s">
        <v>3</v>
      </c>
      <c r="F1" s="1" t="s">
        <v>2</v>
      </c>
    </row>
    <row r="2" spans="1:6" x14ac:dyDescent="0.35">
      <c r="A2" t="s">
        <v>26</v>
      </c>
    </row>
    <row r="3" spans="1:6" x14ac:dyDescent="0.35">
      <c r="A3" t="s">
        <v>82</v>
      </c>
      <c r="B3">
        <v>12</v>
      </c>
      <c r="C3">
        <v>12</v>
      </c>
      <c r="D3">
        <v>12</v>
      </c>
      <c r="E3">
        <v>12</v>
      </c>
      <c r="F3">
        <v>12</v>
      </c>
    </row>
    <row r="4" spans="1:6" x14ac:dyDescent="0.35">
      <c r="A4" s="2" t="s">
        <v>83</v>
      </c>
    </row>
    <row r="5" spans="1:6" x14ac:dyDescent="0.35">
      <c r="A5" t="s">
        <v>84</v>
      </c>
      <c r="B5">
        <v>37665.65</v>
      </c>
      <c r="C5">
        <v>39933.39</v>
      </c>
      <c r="D5">
        <v>42635.9</v>
      </c>
      <c r="E5">
        <v>42391.16</v>
      </c>
      <c r="F5">
        <v>41431.49</v>
      </c>
    </row>
    <row r="6" spans="1:6" x14ac:dyDescent="0.35">
      <c r="A6" t="s">
        <v>85</v>
      </c>
    </row>
    <row r="7" spans="1:6" x14ac:dyDescent="0.35">
      <c r="A7" t="s">
        <v>86</v>
      </c>
      <c r="B7">
        <v>37665.65</v>
      </c>
      <c r="C7">
        <v>39933.39</v>
      </c>
      <c r="D7">
        <v>42635.9</v>
      </c>
      <c r="E7">
        <v>42391.16</v>
      </c>
      <c r="F7">
        <v>41431.49</v>
      </c>
    </row>
    <row r="8" spans="1:6" x14ac:dyDescent="0.35">
      <c r="A8" s="2" t="s">
        <v>87</v>
      </c>
    </row>
    <row r="9" spans="1:6" x14ac:dyDescent="0.35">
      <c r="A9" s="10" t="s">
        <v>88</v>
      </c>
    </row>
    <row r="10" spans="1:6" x14ac:dyDescent="0.35">
      <c r="A10" s="10" t="s">
        <v>89</v>
      </c>
      <c r="B10">
        <v>264.67</v>
      </c>
      <c r="C10">
        <v>297</v>
      </c>
      <c r="D10">
        <v>304.95</v>
      </c>
      <c r="E10">
        <v>317.61</v>
      </c>
      <c r="F10">
        <v>329.82</v>
      </c>
    </row>
    <row r="11" spans="1:6" x14ac:dyDescent="0.35">
      <c r="A11" s="10" t="s">
        <v>90</v>
      </c>
      <c r="B11">
        <v>2110.7399999999998</v>
      </c>
      <c r="C11">
        <v>2234.7600000000002</v>
      </c>
      <c r="D11">
        <v>2400.35</v>
      </c>
      <c r="E11">
        <v>2376.88</v>
      </c>
      <c r="F11">
        <v>2593</v>
      </c>
    </row>
    <row r="12" spans="1:6" x14ac:dyDescent="0.35">
      <c r="A12" s="10" t="s">
        <v>91</v>
      </c>
      <c r="B12">
        <v>1029.6199999999999</v>
      </c>
      <c r="C12">
        <v>1163.69</v>
      </c>
      <c r="D12">
        <v>1001.73</v>
      </c>
      <c r="E12">
        <v>1172.53</v>
      </c>
      <c r="F12">
        <v>1391.18</v>
      </c>
    </row>
    <row r="13" spans="1:6" x14ac:dyDescent="0.35">
      <c r="A13" t="s">
        <v>92</v>
      </c>
      <c r="B13">
        <v>743.48</v>
      </c>
      <c r="C13">
        <v>828.5</v>
      </c>
      <c r="D13">
        <v>846.29</v>
      </c>
      <c r="E13">
        <v>930.61</v>
      </c>
      <c r="F13">
        <v>936.79</v>
      </c>
    </row>
    <row r="14" spans="1:6" x14ac:dyDescent="0.35">
      <c r="A14" t="s">
        <v>93</v>
      </c>
      <c r="B14">
        <v>7.65</v>
      </c>
      <c r="C14">
        <v>10.77</v>
      </c>
      <c r="D14">
        <v>17.920000000000002</v>
      </c>
      <c r="E14">
        <v>14.54</v>
      </c>
      <c r="F14">
        <v>53.07</v>
      </c>
    </row>
    <row r="15" spans="1:6" x14ac:dyDescent="0.35">
      <c r="A15" t="s">
        <v>94</v>
      </c>
      <c r="B15">
        <v>453.67</v>
      </c>
      <c r="C15">
        <v>472.6</v>
      </c>
      <c r="D15">
        <v>1103.97</v>
      </c>
      <c r="E15">
        <v>824.88</v>
      </c>
      <c r="F15">
        <v>853.35</v>
      </c>
    </row>
    <row r="16" spans="1:6" x14ac:dyDescent="0.35">
      <c r="A16" t="s">
        <v>95</v>
      </c>
    </row>
    <row r="17" spans="1:6" x14ac:dyDescent="0.35">
      <c r="A17" t="s">
        <v>96</v>
      </c>
      <c r="B17">
        <v>4609.83</v>
      </c>
      <c r="C17">
        <v>5007.32</v>
      </c>
      <c r="D17">
        <v>5675.21</v>
      </c>
      <c r="E17">
        <v>5637.05</v>
      </c>
      <c r="F17">
        <v>6157.21</v>
      </c>
    </row>
    <row r="18" spans="1:6" x14ac:dyDescent="0.35">
      <c r="A18" t="s">
        <v>97</v>
      </c>
      <c r="B18">
        <v>33055.82</v>
      </c>
      <c r="C18">
        <v>34926.07</v>
      </c>
      <c r="D18">
        <v>36960.69</v>
      </c>
      <c r="E18">
        <v>36754.11</v>
      </c>
      <c r="F18">
        <v>35274.28</v>
      </c>
    </row>
    <row r="19" spans="1:6" x14ac:dyDescent="0.35">
      <c r="A19" t="s">
        <v>98</v>
      </c>
      <c r="B19">
        <v>3084.68</v>
      </c>
      <c r="C19">
        <v>2403.42</v>
      </c>
      <c r="D19">
        <v>2591.98</v>
      </c>
      <c r="E19">
        <v>3424.92</v>
      </c>
      <c r="F19">
        <v>4896.08</v>
      </c>
    </row>
    <row r="20" spans="1:6" x14ac:dyDescent="0.35">
      <c r="A20" t="s">
        <v>99</v>
      </c>
      <c r="B20">
        <v>36140.5</v>
      </c>
      <c r="C20">
        <v>37329.49</v>
      </c>
      <c r="D20">
        <v>39552.67</v>
      </c>
      <c r="E20">
        <v>40179.03</v>
      </c>
      <c r="F20">
        <v>40170.36</v>
      </c>
    </row>
    <row r="21" spans="1:6" x14ac:dyDescent="0.35">
      <c r="A21" t="s">
        <v>100</v>
      </c>
      <c r="B21">
        <v>8724.11</v>
      </c>
      <c r="C21">
        <v>8210.94</v>
      </c>
      <c r="D21">
        <v>9707.2000000000007</v>
      </c>
      <c r="E21">
        <v>9046.8700000000008</v>
      </c>
      <c r="F21">
        <v>9479.32</v>
      </c>
    </row>
    <row r="22" spans="1:6" x14ac:dyDescent="0.35">
      <c r="A22" t="s">
        <v>101</v>
      </c>
      <c r="B22">
        <v>27416.39</v>
      </c>
      <c r="C22">
        <v>29118.55</v>
      </c>
      <c r="D22">
        <v>29845.47</v>
      </c>
      <c r="E22">
        <v>31132.16</v>
      </c>
      <c r="F22">
        <v>30691.040000000001</v>
      </c>
    </row>
    <row r="23" spans="1:6" x14ac:dyDescent="0.35">
      <c r="A23" t="s">
        <v>102</v>
      </c>
      <c r="B23">
        <v>11711.68</v>
      </c>
      <c r="C23">
        <v>12550.58</v>
      </c>
      <c r="D23">
        <v>12858.52</v>
      </c>
      <c r="E23">
        <v>12558.19</v>
      </c>
      <c r="F23">
        <v>12352.23</v>
      </c>
    </row>
    <row r="24" spans="1:6" x14ac:dyDescent="0.35">
      <c r="A24" t="s">
        <v>103</v>
      </c>
      <c r="B24">
        <v>15704.71</v>
      </c>
      <c r="C24">
        <v>16567.97</v>
      </c>
      <c r="D24">
        <v>16986.95</v>
      </c>
      <c r="E24">
        <v>18573.97</v>
      </c>
      <c r="F24">
        <v>18338.810000000001</v>
      </c>
    </row>
    <row r="25" spans="1:6" x14ac:dyDescent="0.35">
      <c r="A25" t="s">
        <v>104</v>
      </c>
    </row>
    <row r="26" spans="1:6" x14ac:dyDescent="0.35">
      <c r="A26" t="s">
        <v>105</v>
      </c>
      <c r="B26">
        <v>-679.79</v>
      </c>
      <c r="C26">
        <v>3236.85</v>
      </c>
      <c r="D26">
        <v>256.43</v>
      </c>
      <c r="E26">
        <v>-564.51</v>
      </c>
      <c r="F26">
        <v>280.62</v>
      </c>
    </row>
    <row r="27" spans="1:6" x14ac:dyDescent="0.35">
      <c r="A27" t="s">
        <v>106</v>
      </c>
      <c r="B27">
        <v>15024.92</v>
      </c>
      <c r="C27">
        <v>19804.82</v>
      </c>
      <c r="D27">
        <v>17243.38</v>
      </c>
      <c r="E27">
        <v>18009.46</v>
      </c>
      <c r="F27">
        <v>18619.43</v>
      </c>
    </row>
    <row r="28" spans="1:6" x14ac:dyDescent="0.35">
      <c r="A28" t="s">
        <v>107</v>
      </c>
      <c r="B28">
        <v>3089.14</v>
      </c>
      <c r="C28">
        <v>2711.06</v>
      </c>
      <c r="D28">
        <v>2118.84</v>
      </c>
      <c r="E28">
        <v>2631.98</v>
      </c>
      <c r="F28">
        <v>3265.86</v>
      </c>
    </row>
    <row r="29" spans="1:6" x14ac:dyDescent="0.35">
      <c r="A29" t="s">
        <v>108</v>
      </c>
      <c r="B29">
        <v>11935.78</v>
      </c>
      <c r="C29">
        <v>17093.759999999998</v>
      </c>
      <c r="D29">
        <v>15124.54</v>
      </c>
      <c r="E29">
        <v>15377.48</v>
      </c>
      <c r="F29">
        <v>15353.57</v>
      </c>
    </row>
    <row r="30" spans="1:6" x14ac:dyDescent="0.35">
      <c r="A30" t="s">
        <v>109</v>
      </c>
    </row>
    <row r="31" spans="1:6" x14ac:dyDescent="0.35">
      <c r="A31" t="s">
        <v>110</v>
      </c>
      <c r="D31">
        <v>227.74</v>
      </c>
      <c r="E31">
        <v>116.27</v>
      </c>
    </row>
    <row r="32" spans="1:6" x14ac:dyDescent="0.35">
      <c r="A32" t="s">
        <v>111</v>
      </c>
      <c r="D32">
        <v>16.739999999999998</v>
      </c>
      <c r="E32">
        <v>19.14</v>
      </c>
    </row>
    <row r="33" spans="1:6" x14ac:dyDescent="0.35">
      <c r="A33" t="s">
        <v>112</v>
      </c>
      <c r="D33">
        <v>211</v>
      </c>
      <c r="E33">
        <v>97.13</v>
      </c>
    </row>
    <row r="34" spans="1:6" x14ac:dyDescent="0.35">
      <c r="A34" t="s">
        <v>113</v>
      </c>
    </row>
    <row r="35" spans="1:6" x14ac:dyDescent="0.35">
      <c r="A35" t="s">
        <v>114</v>
      </c>
    </row>
    <row r="36" spans="1:6" x14ac:dyDescent="0.35">
      <c r="A36" t="s">
        <v>115</v>
      </c>
      <c r="B36">
        <v>3327.57</v>
      </c>
      <c r="C36">
        <v>3399.08</v>
      </c>
      <c r="D36">
        <v>4119.59</v>
      </c>
      <c r="E36">
        <v>3262.91</v>
      </c>
      <c r="F36">
        <v>2013.52</v>
      </c>
    </row>
    <row r="37" spans="1:6" x14ac:dyDescent="0.35">
      <c r="A37" t="s">
        <v>116</v>
      </c>
      <c r="B37">
        <v>15263.35</v>
      </c>
      <c r="C37">
        <v>20492.84</v>
      </c>
      <c r="D37">
        <v>19455.13</v>
      </c>
      <c r="E37">
        <v>18737.52</v>
      </c>
      <c r="F37">
        <v>17367.09</v>
      </c>
    </row>
    <row r="38" spans="1:6" x14ac:dyDescent="0.35">
      <c r="A38" t="s">
        <v>117</v>
      </c>
      <c r="B38">
        <v>120</v>
      </c>
      <c r="C38">
        <v>147.5</v>
      </c>
      <c r="D38">
        <v>147.5</v>
      </c>
      <c r="E38">
        <v>112.5</v>
      </c>
      <c r="F38">
        <v>90</v>
      </c>
    </row>
    <row r="39" spans="1:6" x14ac:dyDescent="0.35">
      <c r="A39" t="s">
        <v>118</v>
      </c>
      <c r="B39">
        <v>22.81</v>
      </c>
      <c r="C39">
        <v>24.51</v>
      </c>
      <c r="D39">
        <v>21.68</v>
      </c>
      <c r="E39">
        <v>16.53</v>
      </c>
      <c r="F39">
        <v>16.510000000000002</v>
      </c>
    </row>
    <row r="40" spans="1:6" x14ac:dyDescent="0.35">
      <c r="A40" t="s">
        <v>119</v>
      </c>
      <c r="B40">
        <v>12.83</v>
      </c>
      <c r="C40">
        <v>18.38</v>
      </c>
      <c r="D40">
        <v>16.260000000000002</v>
      </c>
      <c r="E40">
        <v>16.53</v>
      </c>
      <c r="F40">
        <v>16.510000000000002</v>
      </c>
    </row>
    <row r="41" spans="1:6" x14ac:dyDescent="0.35">
      <c r="A41" t="s">
        <v>120</v>
      </c>
      <c r="B41">
        <v>17.11</v>
      </c>
      <c r="C41">
        <v>24.51</v>
      </c>
      <c r="D41">
        <v>16.489999999999998</v>
      </c>
      <c r="E41">
        <v>16.64</v>
      </c>
      <c r="F41">
        <v>16.510000000000002</v>
      </c>
    </row>
    <row r="42" spans="1:6" x14ac:dyDescent="0.35">
      <c r="A42" t="s">
        <v>121</v>
      </c>
      <c r="B42">
        <v>17.11</v>
      </c>
      <c r="C42">
        <v>24.51</v>
      </c>
      <c r="D42">
        <v>16.489999999999998</v>
      </c>
      <c r="E42">
        <v>16.64</v>
      </c>
      <c r="F42">
        <v>16.510000000000002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A0A7-2135-4D38-A770-C87C0621BAF1}">
  <dimension ref="A1:Y57"/>
  <sheetViews>
    <sheetView zoomScale="78" zoomScaleNormal="78" workbookViewId="0">
      <selection activeCell="A7" sqref="A7"/>
    </sheetView>
  </sheetViews>
  <sheetFormatPr defaultRowHeight="14.5" x14ac:dyDescent="0.35"/>
  <cols>
    <col min="1" max="1" width="82.7265625" bestFit="1" customWidth="1"/>
  </cols>
  <sheetData>
    <row r="1" spans="1:25" x14ac:dyDescent="0.35">
      <c r="A1" t="s">
        <v>0</v>
      </c>
    </row>
    <row r="2" spans="1:25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spans="1:25" x14ac:dyDescent="0.35">
      <c r="A3" t="s">
        <v>26</v>
      </c>
    </row>
    <row r="4" spans="1:25" x14ac:dyDescent="0.35">
      <c r="A4" s="2" t="s">
        <v>27</v>
      </c>
    </row>
    <row r="5" spans="1:25" x14ac:dyDescent="0.35">
      <c r="A5" t="s">
        <v>28</v>
      </c>
      <c r="B5">
        <v>9300.6</v>
      </c>
      <c r="C5">
        <v>9300.6</v>
      </c>
      <c r="D5">
        <v>6975.45</v>
      </c>
      <c r="E5">
        <v>6975.45</v>
      </c>
      <c r="F5">
        <v>5231.59</v>
      </c>
      <c r="G5">
        <v>5231.59</v>
      </c>
      <c r="H5">
        <v>5231.59</v>
      </c>
      <c r="I5">
        <v>5231.59</v>
      </c>
      <c r="J5">
        <v>5231.59</v>
      </c>
      <c r="K5">
        <v>5231.59</v>
      </c>
      <c r="L5">
        <v>5231.59</v>
      </c>
      <c r="M5">
        <v>5231.59</v>
      </c>
      <c r="N5">
        <v>4629.7299999999996</v>
      </c>
      <c r="O5">
        <v>4629.7299999999996</v>
      </c>
      <c r="P5">
        <v>4629.7299999999996</v>
      </c>
      <c r="Q5">
        <v>4208.84</v>
      </c>
      <c r="R5">
        <v>4208.84</v>
      </c>
      <c r="S5">
        <v>4208.84</v>
      </c>
      <c r="T5">
        <v>3787.41</v>
      </c>
      <c r="U5">
        <v>3584.63</v>
      </c>
      <c r="V5">
        <v>3165.25</v>
      </c>
      <c r="W5">
        <v>3035.25</v>
      </c>
      <c r="X5">
        <v>3035.25</v>
      </c>
      <c r="Y5">
        <v>3029</v>
      </c>
    </row>
    <row r="6" spans="1:25" x14ac:dyDescent="0.35">
      <c r="A6" t="s">
        <v>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38.81</v>
      </c>
      <c r="U6">
        <v>38.81</v>
      </c>
      <c r="V6">
        <v>38.81</v>
      </c>
      <c r="W6">
        <v>38.81</v>
      </c>
      <c r="X6">
        <v>38.81</v>
      </c>
      <c r="Y6">
        <v>38.81</v>
      </c>
    </row>
    <row r="7" spans="1:25" x14ac:dyDescent="0.35">
      <c r="A7" t="s">
        <v>30</v>
      </c>
      <c r="B7">
        <v>82915.05</v>
      </c>
      <c r="C7">
        <v>77566.45</v>
      </c>
      <c r="D7">
        <v>75868.73</v>
      </c>
      <c r="E7">
        <v>69176.12</v>
      </c>
      <c r="F7">
        <v>64347.25</v>
      </c>
      <c r="G7">
        <v>59208.1</v>
      </c>
      <c r="H7">
        <v>53785.55</v>
      </c>
      <c r="I7">
        <v>49183.37</v>
      </c>
      <c r="J7">
        <v>44575.66</v>
      </c>
      <c r="K7">
        <v>38579.64</v>
      </c>
      <c r="L7">
        <v>32935</v>
      </c>
      <c r="M7">
        <v>29228.04</v>
      </c>
      <c r="N7">
        <v>21609.74</v>
      </c>
      <c r="O7">
        <v>18858.05</v>
      </c>
      <c r="P7">
        <v>16737.27</v>
      </c>
      <c r="Q7">
        <v>11733.06</v>
      </c>
      <c r="R7">
        <v>10414.75</v>
      </c>
      <c r="S7">
        <v>9298.5300000000007</v>
      </c>
      <c r="T7">
        <v>6874.21</v>
      </c>
      <c r="U7">
        <v>6378.55</v>
      </c>
      <c r="V7">
        <v>5826.87</v>
      </c>
      <c r="W7">
        <v>5454.23</v>
      </c>
      <c r="X7">
        <v>4693.37</v>
      </c>
      <c r="Y7">
        <v>4042</v>
      </c>
    </row>
    <row r="8" spans="1:25" x14ac:dyDescent="0.35">
      <c r="A8" t="s">
        <v>31</v>
      </c>
      <c r="B8">
        <v>92215.65</v>
      </c>
      <c r="C8">
        <v>86867.05</v>
      </c>
      <c r="D8">
        <v>82844.179999999993</v>
      </c>
      <c r="E8">
        <v>76151.570000000007</v>
      </c>
      <c r="F8">
        <v>69578.84</v>
      </c>
      <c r="G8">
        <v>64439.69</v>
      </c>
      <c r="H8">
        <v>59017.14</v>
      </c>
      <c r="I8">
        <v>54414.96</v>
      </c>
      <c r="J8">
        <v>49807.25</v>
      </c>
      <c r="K8">
        <v>43811.23</v>
      </c>
      <c r="L8">
        <v>38166.589999999997</v>
      </c>
      <c r="M8">
        <v>34459.629999999997</v>
      </c>
      <c r="N8">
        <v>26239.47</v>
      </c>
      <c r="O8">
        <v>23487.78</v>
      </c>
      <c r="P8">
        <v>21367</v>
      </c>
      <c r="Q8">
        <v>15941.9</v>
      </c>
      <c r="R8">
        <v>14623.59</v>
      </c>
      <c r="S8">
        <v>13507.37</v>
      </c>
      <c r="T8">
        <v>10700.43</v>
      </c>
      <c r="U8">
        <v>10001.99</v>
      </c>
      <c r="V8">
        <v>9030.93</v>
      </c>
      <c r="W8">
        <v>8528.2900000000009</v>
      </c>
      <c r="X8">
        <v>7767.43</v>
      </c>
      <c r="Y8">
        <v>7109.81</v>
      </c>
    </row>
    <row r="9" spans="1:25" x14ac:dyDescent="0.35">
      <c r="A9" s="2" t="s">
        <v>32</v>
      </c>
    </row>
    <row r="10" spans="1:25" x14ac:dyDescent="0.35">
      <c r="A10" t="s">
        <v>33</v>
      </c>
      <c r="B10">
        <v>56323.58</v>
      </c>
      <c r="C10">
        <v>64315.5</v>
      </c>
      <c r="D10">
        <v>74826.05</v>
      </c>
      <c r="E10">
        <v>81919.460000000006</v>
      </c>
      <c r="F10">
        <v>90758.49</v>
      </c>
      <c r="G10">
        <v>102889.71</v>
      </c>
      <c r="H10">
        <v>105223.31</v>
      </c>
      <c r="I10">
        <v>106965.71</v>
      </c>
      <c r="J10">
        <v>104187.54</v>
      </c>
      <c r="K10">
        <v>94119.79</v>
      </c>
      <c r="L10">
        <v>84554.04</v>
      </c>
      <c r="M10">
        <v>72429.45</v>
      </c>
      <c r="N10">
        <v>59644.88</v>
      </c>
      <c r="O10">
        <v>48670.5</v>
      </c>
      <c r="P10">
        <v>36637.03</v>
      </c>
      <c r="Q10">
        <v>31345.78</v>
      </c>
      <c r="R10">
        <v>25288.25</v>
      </c>
      <c r="S10">
        <v>17552.13</v>
      </c>
      <c r="T10">
        <v>13053.3</v>
      </c>
      <c r="U10">
        <v>10406.620000000001</v>
      </c>
      <c r="V10">
        <v>8953.6299999999992</v>
      </c>
      <c r="W10">
        <v>7586.97</v>
      </c>
      <c r="X10">
        <v>6631.08</v>
      </c>
      <c r="Y10">
        <v>5462.1</v>
      </c>
    </row>
    <row r="11" spans="1:25" x14ac:dyDescent="0.35">
      <c r="A11" t="s">
        <v>34</v>
      </c>
      <c r="B11">
        <v>53534.37</v>
      </c>
      <c r="C11">
        <v>40751.449999999997</v>
      </c>
      <c r="D11">
        <v>39065.24</v>
      </c>
      <c r="E11">
        <v>32279.94</v>
      </c>
      <c r="F11">
        <v>38321.58</v>
      </c>
      <c r="G11">
        <v>32531.4</v>
      </c>
      <c r="H11">
        <v>25816.2</v>
      </c>
      <c r="I11">
        <v>15454.61</v>
      </c>
      <c r="J11">
        <v>6775.63</v>
      </c>
      <c r="K11">
        <v>6053.52</v>
      </c>
      <c r="L11">
        <v>4821.8</v>
      </c>
      <c r="M11">
        <v>4360.7700000000004</v>
      </c>
      <c r="N11">
        <v>3431.39</v>
      </c>
      <c r="O11">
        <v>448.69</v>
      </c>
      <c r="P11">
        <v>578.80999999999995</v>
      </c>
      <c r="Q11">
        <v>5483.46</v>
      </c>
      <c r="R11">
        <v>5562.12</v>
      </c>
      <c r="S11">
        <v>6655.22</v>
      </c>
      <c r="T11">
        <v>7737.82</v>
      </c>
      <c r="U11">
        <v>5441.74</v>
      </c>
      <c r="V11">
        <v>5044.74</v>
      </c>
      <c r="W11">
        <v>5074.74</v>
      </c>
      <c r="X11">
        <v>5021.32</v>
      </c>
      <c r="Y11">
        <v>4618.6000000000004</v>
      </c>
    </row>
    <row r="12" spans="1:25" x14ac:dyDescent="0.35">
      <c r="A12" t="s">
        <v>35</v>
      </c>
      <c r="B12">
        <v>10038.68</v>
      </c>
      <c r="C12">
        <v>9981.4</v>
      </c>
      <c r="D12">
        <v>10619.9</v>
      </c>
      <c r="E12">
        <v>11424.78</v>
      </c>
      <c r="F12">
        <v>11941.88</v>
      </c>
      <c r="G12">
        <v>11381.85</v>
      </c>
      <c r="H12">
        <v>10093.02</v>
      </c>
      <c r="I12">
        <v>13558.89</v>
      </c>
      <c r="J12">
        <v>2550.54</v>
      </c>
      <c r="K12">
        <v>2489.38</v>
      </c>
      <c r="L12">
        <v>2472.15</v>
      </c>
      <c r="M12">
        <v>2442.96</v>
      </c>
      <c r="N12">
        <v>1959.16</v>
      </c>
      <c r="O12">
        <v>1600.88</v>
      </c>
      <c r="P12">
        <v>1146.74</v>
      </c>
      <c r="Q12">
        <v>703.51</v>
      </c>
      <c r="R12">
        <v>538.54</v>
      </c>
      <c r="S12">
        <v>493.78</v>
      </c>
      <c r="T12">
        <v>419.33</v>
      </c>
      <c r="U12">
        <v>309.51</v>
      </c>
      <c r="V12">
        <v>240.35</v>
      </c>
      <c r="W12">
        <v>182.31</v>
      </c>
      <c r="X12">
        <v>232.86</v>
      </c>
      <c r="Y12">
        <v>194.03</v>
      </c>
    </row>
    <row r="13" spans="1:25" x14ac:dyDescent="0.35">
      <c r="A13" t="s">
        <v>36</v>
      </c>
      <c r="B13">
        <v>11528.4</v>
      </c>
      <c r="C13">
        <v>12125.6</v>
      </c>
      <c r="D13">
        <v>13986.92</v>
      </c>
      <c r="E13">
        <v>13305.47</v>
      </c>
      <c r="F13">
        <v>13686.26</v>
      </c>
      <c r="G13">
        <v>14792.69</v>
      </c>
      <c r="H13">
        <v>13841.04</v>
      </c>
      <c r="I13">
        <v>5884.17</v>
      </c>
      <c r="J13">
        <v>5809.81</v>
      </c>
      <c r="K13">
        <v>7000.62</v>
      </c>
      <c r="L13">
        <v>5841.55</v>
      </c>
      <c r="M13">
        <v>5854.76</v>
      </c>
      <c r="N13">
        <v>4707.53</v>
      </c>
      <c r="O13">
        <v>4208</v>
      </c>
      <c r="P13">
        <v>5174</v>
      </c>
    </row>
    <row r="14" spans="1:25" x14ac:dyDescent="0.35">
      <c r="A14" t="s">
        <v>37</v>
      </c>
    </row>
    <row r="15" spans="1:25" x14ac:dyDescent="0.35">
      <c r="A15" t="s">
        <v>38</v>
      </c>
      <c r="B15">
        <v>723.77</v>
      </c>
      <c r="C15">
        <v>643.11</v>
      </c>
      <c r="D15">
        <v>577.61</v>
      </c>
      <c r="E15">
        <v>517.04999999999995</v>
      </c>
      <c r="F15">
        <v>461.93</v>
      </c>
      <c r="G15">
        <v>424.71</v>
      </c>
      <c r="H15">
        <v>368.15</v>
      </c>
      <c r="I15">
        <v>716.87</v>
      </c>
      <c r="J15">
        <v>789.56</v>
      </c>
      <c r="K15">
        <v>650.45000000000005</v>
      </c>
      <c r="L15">
        <v>4942.9799999999996</v>
      </c>
      <c r="M15">
        <v>3747.98</v>
      </c>
      <c r="N15">
        <v>3065.71</v>
      </c>
      <c r="O15">
        <v>421.49</v>
      </c>
      <c r="P15">
        <v>316.64</v>
      </c>
    </row>
    <row r="16" spans="1:25" x14ac:dyDescent="0.35">
      <c r="A16" t="s">
        <v>39</v>
      </c>
      <c r="B16">
        <v>132148.79999999999</v>
      </c>
      <c r="C16">
        <v>127817.06</v>
      </c>
      <c r="D16">
        <v>139075.72</v>
      </c>
      <c r="E16">
        <v>139446.70000000001</v>
      </c>
      <c r="F16">
        <v>155170.14000000001</v>
      </c>
      <c r="G16">
        <v>162020.35999999999</v>
      </c>
      <c r="H16">
        <v>155341.72</v>
      </c>
      <c r="I16">
        <v>142580.25</v>
      </c>
      <c r="J16">
        <v>120113.08</v>
      </c>
      <c r="K16">
        <v>110313.76</v>
      </c>
      <c r="L16">
        <v>102632.52</v>
      </c>
      <c r="M16">
        <v>88835.92</v>
      </c>
      <c r="N16">
        <v>72808.67</v>
      </c>
      <c r="O16">
        <v>55349.56</v>
      </c>
      <c r="P16">
        <v>43853.22</v>
      </c>
      <c r="Q16">
        <v>37532.75</v>
      </c>
      <c r="R16">
        <v>31388.91</v>
      </c>
      <c r="S16">
        <v>24701.13</v>
      </c>
      <c r="T16">
        <v>21210.45</v>
      </c>
      <c r="U16">
        <v>16157.87</v>
      </c>
      <c r="V16">
        <v>14238.72</v>
      </c>
      <c r="W16">
        <v>12844.02</v>
      </c>
      <c r="X16">
        <v>11885.26</v>
      </c>
      <c r="Y16">
        <v>10274.73</v>
      </c>
    </row>
    <row r="17" spans="1:25" x14ac:dyDescent="0.35">
      <c r="A17" s="2" t="s">
        <v>40</v>
      </c>
    </row>
    <row r="18" spans="1:25" x14ac:dyDescent="0.35">
      <c r="A18" t="s">
        <v>41</v>
      </c>
      <c r="B18">
        <v>567.67999999999995</v>
      </c>
      <c r="C18">
        <v>354.07</v>
      </c>
      <c r="D18">
        <v>325.02</v>
      </c>
      <c r="E18">
        <v>266.14</v>
      </c>
      <c r="F18">
        <v>186.3</v>
      </c>
      <c r="G18">
        <v>225.72</v>
      </c>
      <c r="H18">
        <v>364.11</v>
      </c>
      <c r="I18">
        <v>240.34</v>
      </c>
      <c r="J18">
        <v>413.98</v>
      </c>
      <c r="K18">
        <v>313.89</v>
      </c>
      <c r="L18">
        <v>392.97</v>
      </c>
      <c r="M18">
        <v>329.07</v>
      </c>
      <c r="N18">
        <v>235.62</v>
      </c>
      <c r="O18">
        <v>200.78</v>
      </c>
      <c r="P18">
        <v>196.66</v>
      </c>
      <c r="Q18">
        <v>1060.6199999999999</v>
      </c>
      <c r="R18">
        <v>1072.8800000000001</v>
      </c>
      <c r="S18">
        <v>985.15</v>
      </c>
      <c r="T18">
        <v>1700.29</v>
      </c>
      <c r="U18">
        <v>1044.04</v>
      </c>
      <c r="V18">
        <v>472.86</v>
      </c>
      <c r="W18">
        <v>487.84</v>
      </c>
      <c r="X18">
        <v>402.15</v>
      </c>
      <c r="Y18">
        <v>595.11</v>
      </c>
    </row>
    <row r="19" spans="1:25" x14ac:dyDescent="0.35">
      <c r="A19" t="s">
        <v>42</v>
      </c>
      <c r="B19">
        <v>26458.69</v>
      </c>
      <c r="C19">
        <v>27106.35</v>
      </c>
      <c r="D19">
        <v>22532.63</v>
      </c>
      <c r="E19">
        <v>25780.92</v>
      </c>
      <c r="F19">
        <v>26275.61</v>
      </c>
      <c r="G19">
        <v>25099.16</v>
      </c>
      <c r="H19">
        <v>26749.439999999999</v>
      </c>
      <c r="I19">
        <v>24192.94</v>
      </c>
      <c r="J19">
        <v>21890.61</v>
      </c>
      <c r="K19">
        <v>21372.77</v>
      </c>
      <c r="L19">
        <v>19059.599999999999</v>
      </c>
      <c r="M19">
        <v>15520.04</v>
      </c>
      <c r="N19">
        <v>11704.57</v>
      </c>
      <c r="O19">
        <v>8463.56</v>
      </c>
      <c r="P19">
        <v>6307.46</v>
      </c>
      <c r="Q19">
        <v>6573.98</v>
      </c>
      <c r="R19">
        <v>5050.49</v>
      </c>
      <c r="S19">
        <v>2687.24</v>
      </c>
      <c r="T19">
        <v>2301.5</v>
      </c>
      <c r="U19">
        <v>1919.02</v>
      </c>
      <c r="V19">
        <v>1756.57</v>
      </c>
      <c r="W19">
        <v>1350.09</v>
      </c>
      <c r="X19">
        <v>761.75</v>
      </c>
      <c r="Y19">
        <v>769.89</v>
      </c>
    </row>
    <row r="20" spans="1:25" x14ac:dyDescent="0.35">
      <c r="A20" t="s">
        <v>43</v>
      </c>
      <c r="B20">
        <v>5709.36</v>
      </c>
      <c r="C20">
        <v>2693.52</v>
      </c>
      <c r="D20">
        <v>2622.61</v>
      </c>
      <c r="E20">
        <v>5300</v>
      </c>
      <c r="F20">
        <v>1800</v>
      </c>
      <c r="G20">
        <v>3000</v>
      </c>
      <c r="H20">
        <v>4300</v>
      </c>
      <c r="I20">
        <v>1000</v>
      </c>
      <c r="J20">
        <v>1500</v>
      </c>
      <c r="K20">
        <v>2000</v>
      </c>
      <c r="L20">
        <v>1200</v>
      </c>
      <c r="M20">
        <v>2700</v>
      </c>
      <c r="N20">
        <v>2000</v>
      </c>
      <c r="O20">
        <v>1650</v>
      </c>
      <c r="P20">
        <v>1450</v>
      </c>
    </row>
    <row r="21" spans="1:25" x14ac:dyDescent="0.35">
      <c r="A21" t="s">
        <v>44</v>
      </c>
      <c r="B21">
        <v>6971.44</v>
      </c>
      <c r="C21">
        <v>6758.67</v>
      </c>
      <c r="D21">
        <v>11996.06</v>
      </c>
      <c r="E21">
        <v>13137.1</v>
      </c>
      <c r="F21">
        <v>9899.84</v>
      </c>
      <c r="G21">
        <v>9319.33</v>
      </c>
      <c r="H21">
        <v>8277.14</v>
      </c>
      <c r="I21">
        <v>8124.58</v>
      </c>
      <c r="J21">
        <v>6658.63</v>
      </c>
      <c r="K21">
        <v>4430.8999999999996</v>
      </c>
      <c r="L21">
        <v>5574.7</v>
      </c>
      <c r="M21">
        <v>4191.63</v>
      </c>
      <c r="N21">
        <v>768.31</v>
      </c>
      <c r="O21">
        <v>3064.4</v>
      </c>
      <c r="P21">
        <v>2558.8200000000002</v>
      </c>
      <c r="Q21">
        <v>2458.29</v>
      </c>
      <c r="R21">
        <v>2189.8200000000002</v>
      </c>
      <c r="S21">
        <v>1352.59</v>
      </c>
      <c r="T21">
        <v>833.37</v>
      </c>
      <c r="U21">
        <v>678.4</v>
      </c>
      <c r="V21">
        <v>344.61</v>
      </c>
      <c r="W21">
        <v>364.58</v>
      </c>
      <c r="X21">
        <v>234.29</v>
      </c>
      <c r="Y21">
        <v>218.26</v>
      </c>
    </row>
    <row r="22" spans="1:25" x14ac:dyDescent="0.35">
      <c r="A22" t="s">
        <v>45</v>
      </c>
      <c r="B22">
        <v>39707.17</v>
      </c>
      <c r="C22">
        <v>36912.61</v>
      </c>
      <c r="D22">
        <v>37476.32</v>
      </c>
      <c r="E22">
        <v>44484.160000000003</v>
      </c>
      <c r="F22">
        <v>38161.75</v>
      </c>
      <c r="G22">
        <v>37644.21</v>
      </c>
      <c r="H22">
        <v>39690.69</v>
      </c>
      <c r="I22">
        <v>33557.86</v>
      </c>
      <c r="J22">
        <v>30463.22</v>
      </c>
      <c r="K22">
        <v>28117.56</v>
      </c>
      <c r="L22">
        <v>26227.27</v>
      </c>
      <c r="M22">
        <v>22740.74</v>
      </c>
      <c r="N22">
        <v>14708.5</v>
      </c>
      <c r="O22">
        <v>13378.74</v>
      </c>
      <c r="P22">
        <v>10512.94</v>
      </c>
      <c r="Q22">
        <v>10092.89</v>
      </c>
      <c r="R22">
        <v>8313.19</v>
      </c>
      <c r="S22">
        <v>5024.9799999999996</v>
      </c>
      <c r="T22">
        <v>4835.16</v>
      </c>
      <c r="U22">
        <v>3641.46</v>
      </c>
      <c r="V22">
        <v>2574.04</v>
      </c>
      <c r="W22">
        <v>2202.5100000000002</v>
      </c>
      <c r="X22">
        <v>1398.19</v>
      </c>
      <c r="Y22">
        <v>1583.26</v>
      </c>
    </row>
    <row r="23" spans="1:25" x14ac:dyDescent="0.35">
      <c r="A23" t="s">
        <v>46</v>
      </c>
    </row>
    <row r="24" spans="1:25" x14ac:dyDescent="0.35">
      <c r="A24" t="s">
        <v>47</v>
      </c>
      <c r="B24">
        <v>264071.62</v>
      </c>
      <c r="C24">
        <v>251596.72</v>
      </c>
      <c r="D24">
        <v>259396.22</v>
      </c>
      <c r="E24">
        <v>260082.43</v>
      </c>
      <c r="F24">
        <v>262910.73</v>
      </c>
      <c r="G24">
        <v>264104.26</v>
      </c>
      <c r="H24">
        <v>254049.55</v>
      </c>
      <c r="I24">
        <v>230553.07</v>
      </c>
      <c r="J24">
        <v>200383.55</v>
      </c>
      <c r="K24">
        <v>182242.55</v>
      </c>
      <c r="L24">
        <v>167026.38</v>
      </c>
      <c r="M24">
        <v>146036.29</v>
      </c>
      <c r="N24">
        <v>113756.64</v>
      </c>
      <c r="O24">
        <v>92216.08</v>
      </c>
      <c r="P24">
        <v>75733.16</v>
      </c>
      <c r="Q24">
        <v>63567.54</v>
      </c>
      <c r="R24">
        <v>54325.69</v>
      </c>
      <c r="S24">
        <v>43233.48</v>
      </c>
      <c r="T24">
        <v>36746.04</v>
      </c>
      <c r="U24">
        <v>29801.32</v>
      </c>
      <c r="V24">
        <v>25843.69</v>
      </c>
      <c r="W24">
        <v>23574.82</v>
      </c>
      <c r="X24">
        <v>21050.880000000001</v>
      </c>
      <c r="Y24">
        <v>18967.8</v>
      </c>
    </row>
    <row r="25" spans="1:25" x14ac:dyDescent="0.35">
      <c r="A25" s="2" t="s">
        <v>48</v>
      </c>
    </row>
    <row r="26" spans="1:25" x14ac:dyDescent="0.35">
      <c r="A26" s="2" t="s">
        <v>49</v>
      </c>
    </row>
    <row r="27" spans="1:25" x14ac:dyDescent="0.35">
      <c r="A27" t="s">
        <v>50</v>
      </c>
      <c r="B27">
        <v>262459.74</v>
      </c>
      <c r="C27">
        <v>258805.36</v>
      </c>
      <c r="D27">
        <v>255823.8</v>
      </c>
      <c r="E27">
        <v>249953.7</v>
      </c>
      <c r="F27">
        <v>234284.32</v>
      </c>
      <c r="G27">
        <v>215190.84</v>
      </c>
      <c r="H27">
        <v>197792.69</v>
      </c>
      <c r="I27">
        <v>177100.25</v>
      </c>
      <c r="J27">
        <v>149730.18</v>
      </c>
      <c r="K27">
        <v>121336.82</v>
      </c>
      <c r="L27">
        <v>118264.26</v>
      </c>
      <c r="M27">
        <v>96503.66</v>
      </c>
      <c r="N27">
        <v>80600.05</v>
      </c>
      <c r="O27">
        <v>63387.34</v>
      </c>
      <c r="P27">
        <v>50343.35</v>
      </c>
      <c r="Q27">
        <v>43202.28</v>
      </c>
      <c r="R27">
        <v>40319.33</v>
      </c>
      <c r="S27">
        <v>35417.14</v>
      </c>
      <c r="T27">
        <v>29014.63</v>
      </c>
      <c r="U27">
        <v>24888.25</v>
      </c>
      <c r="V27">
        <v>21930.560000000001</v>
      </c>
      <c r="W27">
        <v>19876.23</v>
      </c>
      <c r="X27">
        <v>18943.3</v>
      </c>
      <c r="Y27">
        <v>13776.79</v>
      </c>
    </row>
    <row r="28" spans="1:25" x14ac:dyDescent="0.35">
      <c r="A28" t="s">
        <v>51</v>
      </c>
      <c r="B28">
        <v>108824.88</v>
      </c>
      <c r="C28">
        <v>96104.85</v>
      </c>
      <c r="D28">
        <v>83546.25</v>
      </c>
      <c r="E28">
        <v>70221.94</v>
      </c>
      <c r="F28">
        <v>57340.82</v>
      </c>
      <c r="G28">
        <v>45354.41</v>
      </c>
      <c r="H28">
        <v>33932.71</v>
      </c>
      <c r="I28">
        <v>23489.9</v>
      </c>
      <c r="J28">
        <v>14222.22</v>
      </c>
      <c r="K28">
        <v>6394.52</v>
      </c>
      <c r="L28">
        <v>28578.05</v>
      </c>
      <c r="M28">
        <v>23349.59</v>
      </c>
      <c r="N28">
        <v>19199.41</v>
      </c>
      <c r="O28">
        <v>15725.04</v>
      </c>
      <c r="P28">
        <v>13119.37</v>
      </c>
      <c r="Q28">
        <v>11141.02</v>
      </c>
      <c r="R28">
        <v>9190.89</v>
      </c>
      <c r="S28">
        <v>8061.94</v>
      </c>
      <c r="T28">
        <v>7198.56</v>
      </c>
      <c r="U28">
        <v>6372.01</v>
      </c>
      <c r="V28">
        <v>5635.04</v>
      </c>
      <c r="W28">
        <v>4992.3999999999996</v>
      </c>
      <c r="X28">
        <v>4344.5600000000004</v>
      </c>
      <c r="Y28">
        <v>3870.9</v>
      </c>
    </row>
    <row r="29" spans="1:25" x14ac:dyDescent="0.35">
      <c r="A29" t="s">
        <v>52</v>
      </c>
    </row>
    <row r="30" spans="1:25" x14ac:dyDescent="0.35">
      <c r="A30" t="s">
        <v>53</v>
      </c>
      <c r="B30">
        <v>153634.85999999999</v>
      </c>
      <c r="C30">
        <v>162700.51</v>
      </c>
      <c r="D30">
        <v>172277.55</v>
      </c>
      <c r="E30">
        <v>179731.76</v>
      </c>
      <c r="F30">
        <v>176943.5</v>
      </c>
      <c r="G30">
        <v>169836.43</v>
      </c>
      <c r="H30">
        <v>163859.98000000001</v>
      </c>
      <c r="I30">
        <v>153610.35</v>
      </c>
      <c r="J30">
        <v>135507.96</v>
      </c>
      <c r="K30">
        <v>114942.3</v>
      </c>
      <c r="L30">
        <v>89686.21</v>
      </c>
      <c r="M30">
        <v>73154.070000000007</v>
      </c>
      <c r="N30">
        <v>61400.639999999999</v>
      </c>
      <c r="O30">
        <v>47662.3</v>
      </c>
      <c r="P30">
        <v>37223.980000000003</v>
      </c>
      <c r="Q30">
        <v>32061.26</v>
      </c>
      <c r="R30">
        <v>31128.44</v>
      </c>
      <c r="S30">
        <v>27355.200000000001</v>
      </c>
      <c r="T30">
        <v>21816.07</v>
      </c>
      <c r="U30">
        <v>18516.240000000002</v>
      </c>
      <c r="V30">
        <v>16295.52</v>
      </c>
      <c r="W30">
        <v>14883.83</v>
      </c>
      <c r="X30">
        <v>14598.74</v>
      </c>
      <c r="Y30">
        <v>9905.89</v>
      </c>
    </row>
    <row r="31" spans="1:25" x14ac:dyDescent="0.35">
      <c r="A31" t="s">
        <v>54</v>
      </c>
    </row>
    <row r="32" spans="1:25" x14ac:dyDescent="0.35">
      <c r="A32" t="s">
        <v>55</v>
      </c>
      <c r="B32">
        <v>12166.85</v>
      </c>
      <c r="C32">
        <v>9581.16</v>
      </c>
      <c r="D32">
        <v>7668.13</v>
      </c>
      <c r="E32">
        <v>7344.46</v>
      </c>
      <c r="F32">
        <v>17896.669999999998</v>
      </c>
      <c r="G32">
        <v>30180.080000000002</v>
      </c>
      <c r="H32">
        <v>33364.019999999997</v>
      </c>
      <c r="I32">
        <v>30261.17</v>
      </c>
      <c r="J32">
        <v>35806.800000000003</v>
      </c>
      <c r="K32">
        <v>43623.040000000001</v>
      </c>
      <c r="L32">
        <v>52712.86</v>
      </c>
      <c r="M32">
        <v>49127.71</v>
      </c>
      <c r="N32">
        <v>34629.919999999998</v>
      </c>
      <c r="O32">
        <v>28109.93</v>
      </c>
      <c r="P32">
        <v>23613.88</v>
      </c>
      <c r="Q32">
        <v>20422.18</v>
      </c>
      <c r="R32">
        <v>13286</v>
      </c>
      <c r="S32">
        <v>8758.09</v>
      </c>
      <c r="T32">
        <v>9440.39</v>
      </c>
      <c r="U32">
        <v>6400.86</v>
      </c>
      <c r="V32">
        <v>5024.79</v>
      </c>
      <c r="W32">
        <v>3876.06</v>
      </c>
      <c r="X32">
        <v>2592.58</v>
      </c>
      <c r="Y32">
        <v>5874.98</v>
      </c>
    </row>
    <row r="33" spans="1:25" x14ac:dyDescent="0.35">
      <c r="A33" t="s">
        <v>56</v>
      </c>
      <c r="B33">
        <v>232.19</v>
      </c>
      <c r="C33">
        <v>91.01</v>
      </c>
      <c r="D33">
        <v>31.08</v>
      </c>
      <c r="E33">
        <v>31.53</v>
      </c>
      <c r="F33">
        <v>74.86</v>
      </c>
      <c r="G33">
        <v>219.55</v>
      </c>
      <c r="H33">
        <v>214.06</v>
      </c>
      <c r="I33">
        <v>45.95</v>
      </c>
      <c r="J33">
        <v>77.33</v>
      </c>
      <c r="K33">
        <v>172.11</v>
      </c>
      <c r="L33">
        <v>211.29</v>
      </c>
      <c r="M33">
        <v>349</v>
      </c>
      <c r="N33">
        <v>193.62</v>
      </c>
      <c r="O33">
        <v>73.61</v>
      </c>
      <c r="P33">
        <v>99.05</v>
      </c>
    </row>
    <row r="34" spans="1:25" x14ac:dyDescent="0.35">
      <c r="A34" t="s">
        <v>57</v>
      </c>
    </row>
    <row r="35" spans="1:25" x14ac:dyDescent="0.35">
      <c r="A35" t="s">
        <v>58</v>
      </c>
      <c r="B35">
        <v>1.87</v>
      </c>
      <c r="C35">
        <v>1.84</v>
      </c>
      <c r="F35">
        <v>0.03</v>
      </c>
      <c r="G35">
        <v>0.03</v>
      </c>
      <c r="H35">
        <v>0.03</v>
      </c>
      <c r="I35">
        <v>0.03</v>
      </c>
      <c r="J35">
        <v>0.03</v>
      </c>
      <c r="K35">
        <v>0.03</v>
      </c>
    </row>
    <row r="36" spans="1:25" x14ac:dyDescent="0.35">
      <c r="A36" t="s">
        <v>59</v>
      </c>
      <c r="B36">
        <v>11312.3</v>
      </c>
      <c r="C36">
        <v>8731.6299999999992</v>
      </c>
      <c r="D36">
        <v>7414.95</v>
      </c>
      <c r="E36">
        <v>7228.53</v>
      </c>
      <c r="F36">
        <v>4265.3599999999997</v>
      </c>
      <c r="G36">
        <v>3763.66</v>
      </c>
      <c r="H36">
        <v>2756.53</v>
      </c>
      <c r="I36">
        <v>1608.24</v>
      </c>
      <c r="J36">
        <v>1327.55</v>
      </c>
      <c r="K36">
        <v>836.08</v>
      </c>
      <c r="L36">
        <v>740.99</v>
      </c>
      <c r="M36">
        <v>814.33</v>
      </c>
      <c r="N36">
        <v>964.24</v>
      </c>
      <c r="O36">
        <v>1101.19</v>
      </c>
      <c r="P36">
        <v>1214.01</v>
      </c>
      <c r="Q36">
        <v>1453.22</v>
      </c>
      <c r="R36">
        <v>1592.83</v>
      </c>
      <c r="S36">
        <v>1736.22</v>
      </c>
      <c r="T36">
        <v>1967</v>
      </c>
      <c r="U36">
        <v>2139.41</v>
      </c>
      <c r="V36">
        <v>1882.42</v>
      </c>
      <c r="W36">
        <v>1851.13</v>
      </c>
      <c r="X36">
        <v>739.08</v>
      </c>
      <c r="Y36">
        <v>739.03</v>
      </c>
    </row>
    <row r="37" spans="1:25" x14ac:dyDescent="0.35">
      <c r="A37" t="s">
        <v>60</v>
      </c>
      <c r="B37">
        <v>36915.78</v>
      </c>
      <c r="C37">
        <v>22713.55</v>
      </c>
      <c r="D37">
        <v>18673.71</v>
      </c>
      <c r="E37">
        <v>14762.33</v>
      </c>
      <c r="F37">
        <v>10943.69</v>
      </c>
      <c r="G37">
        <v>13601.92</v>
      </c>
      <c r="H37">
        <v>12353.88</v>
      </c>
      <c r="I37">
        <v>11191.5</v>
      </c>
      <c r="J37">
        <v>6977.46</v>
      </c>
      <c r="K37">
        <v>4385.82</v>
      </c>
      <c r="L37">
        <v>8164.03</v>
      </c>
      <c r="M37">
        <v>7339.26</v>
      </c>
      <c r="N37">
        <v>8305.48</v>
      </c>
      <c r="O37">
        <v>5319.74</v>
      </c>
      <c r="P37">
        <v>3197.96</v>
      </c>
    </row>
    <row r="38" spans="1:25" x14ac:dyDescent="0.35">
      <c r="A38" t="s">
        <v>61</v>
      </c>
      <c r="B38">
        <v>18672.939999999999</v>
      </c>
      <c r="C38">
        <v>18281.3</v>
      </c>
      <c r="D38">
        <v>18919.330000000002</v>
      </c>
      <c r="E38">
        <v>18422.68</v>
      </c>
      <c r="F38">
        <v>19194.93</v>
      </c>
      <c r="G38">
        <v>19538.87</v>
      </c>
      <c r="H38">
        <v>16052.19</v>
      </c>
      <c r="I38">
        <v>14877.7</v>
      </c>
      <c r="J38">
        <v>3932.28</v>
      </c>
      <c r="K38">
        <v>4797.62</v>
      </c>
      <c r="L38">
        <v>3218.15</v>
      </c>
      <c r="M38">
        <v>2959.31</v>
      </c>
      <c r="N38">
        <v>2163.65</v>
      </c>
      <c r="O38">
        <v>1611.69</v>
      </c>
      <c r="P38">
        <v>757.93</v>
      </c>
    </row>
    <row r="39" spans="1:25" x14ac:dyDescent="0.35">
      <c r="A39" t="s">
        <v>62</v>
      </c>
      <c r="B39">
        <v>232936.79</v>
      </c>
      <c r="C39">
        <v>222101</v>
      </c>
      <c r="D39">
        <v>224984.75</v>
      </c>
      <c r="E39">
        <v>227521.29</v>
      </c>
      <c r="F39">
        <v>229319.04000000001</v>
      </c>
      <c r="G39">
        <v>237140.54</v>
      </c>
      <c r="H39">
        <v>228600.69</v>
      </c>
      <c r="I39">
        <v>211594.94</v>
      </c>
      <c r="J39">
        <v>183629.41</v>
      </c>
      <c r="K39">
        <v>168757</v>
      </c>
      <c r="L39">
        <v>154733.53</v>
      </c>
      <c r="M39">
        <v>133743.67999999999</v>
      </c>
      <c r="N39">
        <v>107657.55</v>
      </c>
      <c r="O39">
        <v>83878.460000000006</v>
      </c>
      <c r="P39">
        <v>66106.81</v>
      </c>
      <c r="Q39">
        <v>53936.66</v>
      </c>
      <c r="R39">
        <v>46007.27</v>
      </c>
      <c r="S39">
        <v>37849.51</v>
      </c>
      <c r="T39">
        <v>33223.46</v>
      </c>
      <c r="U39">
        <v>27056.51</v>
      </c>
      <c r="V39">
        <v>23202.73</v>
      </c>
      <c r="W39">
        <v>20611.02</v>
      </c>
      <c r="X39">
        <v>17930.400000000001</v>
      </c>
      <c r="Y39">
        <v>16519.900000000001</v>
      </c>
    </row>
    <row r="40" spans="1:25" x14ac:dyDescent="0.35">
      <c r="A40" s="2" t="s">
        <v>63</v>
      </c>
    </row>
    <row r="41" spans="1:25" x14ac:dyDescent="0.35">
      <c r="A41" t="s">
        <v>64</v>
      </c>
      <c r="C41">
        <v>869.12</v>
      </c>
      <c r="D41">
        <v>260.86</v>
      </c>
      <c r="E41">
        <v>15.86</v>
      </c>
      <c r="F41">
        <v>952.18</v>
      </c>
      <c r="J41">
        <v>2.5</v>
      </c>
      <c r="K41">
        <v>5</v>
      </c>
      <c r="L41">
        <v>185.43</v>
      </c>
      <c r="M41">
        <v>184.35</v>
      </c>
      <c r="N41">
        <v>183.26</v>
      </c>
      <c r="O41">
        <v>183.26</v>
      </c>
      <c r="P41">
        <v>184.34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t="s">
        <v>65</v>
      </c>
      <c r="B42">
        <v>1377.82</v>
      </c>
      <c r="C42">
        <v>1303.73</v>
      </c>
      <c r="D42">
        <v>1323.55</v>
      </c>
      <c r="E42">
        <v>1352.6</v>
      </c>
      <c r="F42">
        <v>1362.82</v>
      </c>
      <c r="G42">
        <v>1400.56</v>
      </c>
      <c r="H42">
        <v>1226.28</v>
      </c>
      <c r="I42">
        <v>1038.45</v>
      </c>
      <c r="J42">
        <v>906.95</v>
      </c>
      <c r="K42">
        <v>707.43</v>
      </c>
      <c r="L42">
        <v>717.75</v>
      </c>
      <c r="M42">
        <v>712.4</v>
      </c>
      <c r="N42">
        <v>551.53</v>
      </c>
      <c r="O42">
        <v>440.31</v>
      </c>
      <c r="P42">
        <v>381.51</v>
      </c>
      <c r="Q42">
        <v>344.9</v>
      </c>
      <c r="R42">
        <v>297.57</v>
      </c>
      <c r="S42">
        <v>248.22</v>
      </c>
      <c r="T42">
        <v>184.13</v>
      </c>
      <c r="U42">
        <v>180.24</v>
      </c>
      <c r="V42">
        <v>184.27</v>
      </c>
      <c r="W42">
        <v>196.86</v>
      </c>
      <c r="X42">
        <v>160.69</v>
      </c>
      <c r="Y42">
        <v>170.68</v>
      </c>
    </row>
    <row r="43" spans="1:25" x14ac:dyDescent="0.35">
      <c r="A43" t="s">
        <v>66</v>
      </c>
      <c r="B43">
        <v>7273.25</v>
      </c>
      <c r="C43">
        <v>10825.8</v>
      </c>
      <c r="D43">
        <v>14304.13</v>
      </c>
      <c r="E43">
        <v>8836.81</v>
      </c>
      <c r="F43">
        <v>8470.2000000000007</v>
      </c>
      <c r="G43">
        <v>4867.8999999999996</v>
      </c>
      <c r="H43">
        <v>4649.8</v>
      </c>
      <c r="I43">
        <v>3638.96</v>
      </c>
      <c r="J43">
        <v>3221.1</v>
      </c>
      <c r="K43">
        <v>2737.97</v>
      </c>
      <c r="L43">
        <v>2118.65</v>
      </c>
      <c r="M43">
        <v>1578.46</v>
      </c>
      <c r="N43">
        <v>1434.09</v>
      </c>
      <c r="O43">
        <v>1497.49</v>
      </c>
      <c r="P43">
        <v>1114</v>
      </c>
      <c r="Q43">
        <v>2214.86</v>
      </c>
      <c r="R43">
        <v>1373.56</v>
      </c>
      <c r="S43">
        <v>1100.5</v>
      </c>
      <c r="T43">
        <v>490.48</v>
      </c>
      <c r="U43">
        <v>325.60000000000002</v>
      </c>
      <c r="V43">
        <v>450.7</v>
      </c>
      <c r="W43">
        <v>485.4</v>
      </c>
      <c r="X43">
        <v>1645.01</v>
      </c>
      <c r="Y43">
        <v>1605.47</v>
      </c>
    </row>
    <row r="44" spans="1:25" x14ac:dyDescent="0.35">
      <c r="A44" t="s">
        <v>67</v>
      </c>
      <c r="B44">
        <v>6419.4</v>
      </c>
      <c r="C44">
        <v>5026.7299999999996</v>
      </c>
      <c r="D44">
        <v>4734.4399999999996</v>
      </c>
      <c r="E44">
        <v>2971.04</v>
      </c>
      <c r="F44">
        <v>5273.54</v>
      </c>
      <c r="G44">
        <v>5409.4</v>
      </c>
      <c r="H44">
        <v>4332.04</v>
      </c>
      <c r="I44">
        <v>2170.4299999999998</v>
      </c>
      <c r="J44">
        <v>3340.59</v>
      </c>
      <c r="K44">
        <v>2240.4</v>
      </c>
      <c r="L44">
        <v>2062.98</v>
      </c>
      <c r="M44">
        <v>4417.5200000000004</v>
      </c>
      <c r="N44">
        <v>1661.97</v>
      </c>
      <c r="O44">
        <v>2336.88</v>
      </c>
      <c r="P44">
        <v>3680.06</v>
      </c>
      <c r="Q44">
        <v>3277.64</v>
      </c>
      <c r="R44">
        <v>2428.88</v>
      </c>
      <c r="S44">
        <v>1865.59</v>
      </c>
      <c r="T44">
        <v>1196.82</v>
      </c>
      <c r="U44">
        <v>589.04999999999995</v>
      </c>
      <c r="V44">
        <v>603.97</v>
      </c>
      <c r="W44">
        <v>775.45</v>
      </c>
      <c r="X44">
        <v>118.36</v>
      </c>
      <c r="Y44">
        <v>209.87</v>
      </c>
    </row>
    <row r="45" spans="1:25" x14ac:dyDescent="0.35">
      <c r="A45" t="s">
        <v>68</v>
      </c>
      <c r="B45">
        <v>542.41</v>
      </c>
      <c r="C45">
        <v>413.69</v>
      </c>
      <c r="D45">
        <v>752.63</v>
      </c>
      <c r="E45">
        <v>660.41</v>
      </c>
      <c r="F45">
        <v>935.69</v>
      </c>
      <c r="G45">
        <v>568.32000000000005</v>
      </c>
      <c r="H45">
        <v>842.02</v>
      </c>
      <c r="I45">
        <v>916.96</v>
      </c>
      <c r="J45">
        <v>852.45</v>
      </c>
      <c r="K45">
        <v>483.8</v>
      </c>
      <c r="L45">
        <v>46.53</v>
      </c>
      <c r="M45">
        <v>126.89</v>
      </c>
      <c r="N45">
        <v>81.7</v>
      </c>
      <c r="O45">
        <v>97.18</v>
      </c>
      <c r="P45">
        <v>181.07</v>
      </c>
      <c r="Q45">
        <v>500.09</v>
      </c>
      <c r="R45">
        <v>1424.19</v>
      </c>
      <c r="S45">
        <v>398.26</v>
      </c>
      <c r="T45">
        <v>151.09</v>
      </c>
      <c r="U45">
        <v>158.87</v>
      </c>
      <c r="V45">
        <v>813.48</v>
      </c>
      <c r="W45">
        <v>987.11</v>
      </c>
      <c r="X45">
        <v>819.85</v>
      </c>
      <c r="Y45">
        <v>83.77</v>
      </c>
    </row>
    <row r="46" spans="1:25" x14ac:dyDescent="0.35">
      <c r="A46" t="s">
        <v>69</v>
      </c>
      <c r="B46">
        <v>15521.95</v>
      </c>
      <c r="C46">
        <v>11056.65</v>
      </c>
      <c r="D46">
        <v>13035.86</v>
      </c>
      <c r="E46">
        <v>18479.419999999998</v>
      </c>
      <c r="F46">
        <v>16336.4</v>
      </c>
      <c r="G46">
        <v>14717.54</v>
      </c>
      <c r="H46">
        <v>14398.72</v>
      </c>
      <c r="I46">
        <v>11193.33</v>
      </c>
      <c r="J46">
        <v>8430.5499999999993</v>
      </c>
      <c r="K46">
        <v>7280.31</v>
      </c>
      <c r="L46">
        <v>7161.51</v>
      </c>
      <c r="M46">
        <v>5272.99</v>
      </c>
      <c r="N46">
        <v>2186.54</v>
      </c>
      <c r="O46">
        <v>3782.5</v>
      </c>
      <c r="P46">
        <v>4085.37</v>
      </c>
      <c r="Q46">
        <v>3289.83</v>
      </c>
      <c r="R46">
        <v>2788.72</v>
      </c>
      <c r="S46">
        <v>1764.21</v>
      </c>
      <c r="T46">
        <v>1487.2</v>
      </c>
      <c r="U46">
        <v>1470.32</v>
      </c>
      <c r="V46">
        <v>558.85</v>
      </c>
      <c r="W46">
        <v>479.98</v>
      </c>
      <c r="X46">
        <v>368.82</v>
      </c>
      <c r="Y46">
        <v>372.39</v>
      </c>
    </row>
    <row r="47" spans="1:25" x14ac:dyDescent="0.35">
      <c r="A47" t="s">
        <v>70</v>
      </c>
    </row>
    <row r="48" spans="1:25" x14ac:dyDescent="0.35">
      <c r="A48" t="s">
        <v>71</v>
      </c>
      <c r="B48">
        <v>31134.83</v>
      </c>
      <c r="C48">
        <v>29495.72</v>
      </c>
      <c r="D48">
        <v>34411.47</v>
      </c>
      <c r="E48">
        <v>32316.14</v>
      </c>
      <c r="F48">
        <v>33330.83</v>
      </c>
      <c r="G48">
        <v>26963.72</v>
      </c>
      <c r="H48">
        <v>25448.86</v>
      </c>
      <c r="I48">
        <v>18958.13</v>
      </c>
      <c r="J48">
        <v>16754.14</v>
      </c>
      <c r="K48">
        <v>13454.91</v>
      </c>
      <c r="L48">
        <v>12292.85</v>
      </c>
      <c r="M48">
        <v>12292.61</v>
      </c>
      <c r="N48">
        <v>6099.09</v>
      </c>
      <c r="O48">
        <v>8337.6200000000008</v>
      </c>
      <c r="P48">
        <v>9626.35</v>
      </c>
      <c r="Q48">
        <v>9627.32</v>
      </c>
      <c r="R48">
        <v>8312.92</v>
      </c>
      <c r="S48">
        <v>5376.78</v>
      </c>
      <c r="T48">
        <v>3509.72</v>
      </c>
      <c r="U48">
        <v>2724.08</v>
      </c>
      <c r="V48">
        <v>2611.27</v>
      </c>
      <c r="W48">
        <v>2924.8</v>
      </c>
      <c r="X48">
        <v>3112.73</v>
      </c>
      <c r="Y48">
        <v>2442.1799999999998</v>
      </c>
    </row>
    <row r="49" spans="1:25" x14ac:dyDescent="0.35">
      <c r="A49" t="s">
        <v>72</v>
      </c>
      <c r="E49">
        <v>245</v>
      </c>
      <c r="F49">
        <v>260.86</v>
      </c>
      <c r="K49">
        <v>30.64</v>
      </c>
    </row>
    <row r="50" spans="1:25" x14ac:dyDescent="0.35">
      <c r="A50" t="s">
        <v>73</v>
      </c>
      <c r="B50">
        <v>-8572.34</v>
      </c>
      <c r="C50">
        <v>-7416.89</v>
      </c>
      <c r="D50">
        <v>-3064.85</v>
      </c>
      <c r="E50">
        <v>-12168.02</v>
      </c>
      <c r="F50">
        <v>-4830.92</v>
      </c>
      <c r="G50">
        <v>-10680.49</v>
      </c>
      <c r="H50">
        <v>-14241.83</v>
      </c>
      <c r="I50">
        <v>-14599.73</v>
      </c>
      <c r="J50">
        <v>-13709.08</v>
      </c>
      <c r="K50">
        <v>-14662.65</v>
      </c>
      <c r="L50">
        <v>-13934.42</v>
      </c>
      <c r="M50">
        <v>-10448.129999999999</v>
      </c>
      <c r="N50">
        <v>-8609.41</v>
      </c>
      <c r="O50">
        <v>-5041.12</v>
      </c>
      <c r="P50">
        <v>-886.59</v>
      </c>
      <c r="Q50">
        <v>-465.57</v>
      </c>
      <c r="R50">
        <v>-0.27</v>
      </c>
      <c r="S50">
        <v>351.8</v>
      </c>
      <c r="T50">
        <v>-1325.44</v>
      </c>
      <c r="U50">
        <v>-917.38</v>
      </c>
      <c r="V50">
        <v>37.229999999999997</v>
      </c>
      <c r="W50">
        <v>722.29</v>
      </c>
      <c r="X50">
        <v>1714.54</v>
      </c>
      <c r="Y50">
        <v>858.92</v>
      </c>
    </row>
    <row r="51" spans="1:25" x14ac:dyDescent="0.35">
      <c r="A51" t="s">
        <v>74</v>
      </c>
      <c r="B51">
        <v>31134.83</v>
      </c>
      <c r="C51">
        <v>28626.6</v>
      </c>
      <c r="D51">
        <v>34150.61</v>
      </c>
      <c r="E51">
        <v>32300.28</v>
      </c>
      <c r="F51">
        <v>32378.65</v>
      </c>
      <c r="G51">
        <v>26963.72</v>
      </c>
      <c r="H51">
        <v>25448.86</v>
      </c>
      <c r="I51">
        <v>18958.13</v>
      </c>
      <c r="J51">
        <v>16751.64</v>
      </c>
      <c r="K51">
        <v>13449.91</v>
      </c>
      <c r="L51">
        <v>12107.42</v>
      </c>
      <c r="M51">
        <v>12108.26</v>
      </c>
      <c r="N51">
        <v>5915.83</v>
      </c>
      <c r="O51">
        <v>8154.36</v>
      </c>
      <c r="P51">
        <v>9442.01</v>
      </c>
      <c r="Q51">
        <v>9627.32</v>
      </c>
      <c r="R51">
        <v>8312.92</v>
      </c>
      <c r="S51">
        <v>5376.78</v>
      </c>
      <c r="T51">
        <v>3509.72</v>
      </c>
      <c r="U51">
        <v>2724.08</v>
      </c>
      <c r="V51">
        <v>2611.27</v>
      </c>
      <c r="W51">
        <v>2924.8</v>
      </c>
      <c r="X51">
        <v>3112.73</v>
      </c>
      <c r="Y51">
        <v>2442.1799999999998</v>
      </c>
    </row>
    <row r="52" spans="1:25" x14ac:dyDescent="0.35">
      <c r="A52" t="s">
        <v>75</v>
      </c>
      <c r="Q52">
        <v>3.56</v>
      </c>
      <c r="R52">
        <v>5.5</v>
      </c>
      <c r="S52">
        <v>7.19</v>
      </c>
      <c r="T52">
        <v>12.86</v>
      </c>
      <c r="U52">
        <v>20.73</v>
      </c>
      <c r="V52">
        <v>29.69</v>
      </c>
      <c r="W52">
        <v>39</v>
      </c>
      <c r="X52">
        <v>7.75</v>
      </c>
      <c r="Y52">
        <v>5.72</v>
      </c>
    </row>
    <row r="53" spans="1:25" x14ac:dyDescent="0.35">
      <c r="A53" t="s">
        <v>76</v>
      </c>
      <c r="B53">
        <v>264071.62</v>
      </c>
      <c r="C53">
        <v>251596.72</v>
      </c>
      <c r="D53">
        <v>259396.22</v>
      </c>
      <c r="E53">
        <v>260082.43</v>
      </c>
      <c r="F53">
        <v>262910.73</v>
      </c>
      <c r="G53">
        <v>264104.26</v>
      </c>
      <c r="H53">
        <v>254049.55</v>
      </c>
      <c r="I53">
        <v>230553.07</v>
      </c>
      <c r="J53">
        <v>200383.55</v>
      </c>
      <c r="K53">
        <v>182242.55</v>
      </c>
      <c r="L53">
        <v>167026.38</v>
      </c>
      <c r="M53">
        <v>146036.29</v>
      </c>
      <c r="N53">
        <v>113756.64</v>
      </c>
      <c r="O53">
        <v>92216.08</v>
      </c>
      <c r="P53">
        <v>75733.16</v>
      </c>
      <c r="Q53">
        <v>63567.54</v>
      </c>
      <c r="R53">
        <v>54325.69</v>
      </c>
      <c r="S53">
        <v>43233.48</v>
      </c>
      <c r="T53">
        <v>36746.04</v>
      </c>
      <c r="U53">
        <v>29801.32</v>
      </c>
      <c r="V53">
        <v>25843.69</v>
      </c>
      <c r="W53">
        <v>23574.82</v>
      </c>
      <c r="X53">
        <v>21050.880000000001</v>
      </c>
      <c r="Y53">
        <v>18967.8</v>
      </c>
    </row>
    <row r="54" spans="1:25" x14ac:dyDescent="0.35">
      <c r="A54" t="s">
        <v>77</v>
      </c>
      <c r="B54">
        <v>7251.19</v>
      </c>
      <c r="C54">
        <v>5800.48</v>
      </c>
      <c r="D54">
        <v>7234.79</v>
      </c>
      <c r="E54">
        <v>9374.49</v>
      </c>
      <c r="F54">
        <v>8238.5300000000007</v>
      </c>
      <c r="G54">
        <v>7461.18</v>
      </c>
      <c r="H54">
        <v>6591.75</v>
      </c>
      <c r="I54">
        <v>5586.44</v>
      </c>
      <c r="J54">
        <v>5397.55</v>
      </c>
      <c r="K54">
        <v>6807.08</v>
      </c>
      <c r="L54">
        <v>3343.98</v>
      </c>
      <c r="M54">
        <v>3959.66</v>
      </c>
      <c r="N54">
        <v>2857.75</v>
      </c>
      <c r="O54">
        <v>2187.98</v>
      </c>
      <c r="P54">
        <v>3371.26</v>
      </c>
      <c r="Q54">
        <v>6467.69</v>
      </c>
      <c r="R54">
        <v>5674.54</v>
      </c>
      <c r="S54">
        <v>2907.32</v>
      </c>
      <c r="T54">
        <v>1950.38</v>
      </c>
      <c r="U54">
        <v>2811.81</v>
      </c>
      <c r="V54">
        <v>2445.0100000000002</v>
      </c>
      <c r="W54">
        <v>2299.84</v>
      </c>
      <c r="X54">
        <v>2477.5100000000002</v>
      </c>
      <c r="Y54">
        <v>2927.71</v>
      </c>
    </row>
    <row r="55" spans="1:25" x14ac:dyDescent="0.35">
      <c r="A55" t="s">
        <v>78</v>
      </c>
      <c r="B55">
        <v>130964.96</v>
      </c>
      <c r="C55">
        <v>123448.62</v>
      </c>
      <c r="D55">
        <v>128517.51</v>
      </c>
      <c r="E55">
        <v>134665.26999999999</v>
      </c>
      <c r="F55">
        <v>143051.48000000001</v>
      </c>
      <c r="G55">
        <v>147979.64000000001</v>
      </c>
      <c r="H55">
        <v>146086.35999999999</v>
      </c>
      <c r="I55">
        <v>131212.96</v>
      </c>
      <c r="J55">
        <v>118697.91</v>
      </c>
      <c r="K55">
        <v>108254.91</v>
      </c>
      <c r="L55">
        <v>95044.55</v>
      </c>
      <c r="M55">
        <v>83169.850000000006</v>
      </c>
      <c r="N55">
        <v>68187.87</v>
      </c>
      <c r="O55">
        <v>53401.91</v>
      </c>
      <c r="P55">
        <v>40882.769999999997</v>
      </c>
      <c r="Q55">
        <v>36829.24</v>
      </c>
      <c r="R55">
        <v>30850.37</v>
      </c>
      <c r="S55">
        <v>24207.35</v>
      </c>
      <c r="T55">
        <v>20791.12</v>
      </c>
      <c r="U55">
        <v>15848.36</v>
      </c>
      <c r="V55">
        <v>13998.37</v>
      </c>
      <c r="W55">
        <v>12661.71</v>
      </c>
      <c r="X55">
        <v>11652.4</v>
      </c>
      <c r="Y55">
        <v>10080.700000000001</v>
      </c>
    </row>
    <row r="56" spans="1:25" x14ac:dyDescent="0.35">
      <c r="A56" t="s">
        <v>79</v>
      </c>
      <c r="B56">
        <v>99.15</v>
      </c>
      <c r="C56">
        <v>93.4</v>
      </c>
      <c r="D56">
        <v>118.77</v>
      </c>
      <c r="E56">
        <v>109.17</v>
      </c>
      <c r="F56">
        <v>133</v>
      </c>
      <c r="G56">
        <v>123.17</v>
      </c>
      <c r="H56">
        <v>112.81</v>
      </c>
      <c r="I56">
        <v>104.01</v>
      </c>
      <c r="J56">
        <v>95.2</v>
      </c>
      <c r="K56">
        <v>83.74</v>
      </c>
      <c r="L56">
        <v>72.95</v>
      </c>
      <c r="M56">
        <v>65.87</v>
      </c>
      <c r="N56">
        <v>56.68</v>
      </c>
      <c r="O56">
        <v>50.73</v>
      </c>
      <c r="P56">
        <v>46.15</v>
      </c>
      <c r="Q56">
        <v>37.869999999999997</v>
      </c>
      <c r="R56">
        <v>34.729999999999997</v>
      </c>
      <c r="S56">
        <v>32.08</v>
      </c>
      <c r="T56">
        <v>28.12</v>
      </c>
      <c r="U56">
        <v>2773.63</v>
      </c>
      <c r="V56">
        <v>2831.51</v>
      </c>
      <c r="W56">
        <v>2784.11</v>
      </c>
      <c r="X56">
        <v>2543.73</v>
      </c>
      <c r="Y56">
        <v>2332.5500000000002</v>
      </c>
    </row>
    <row r="57" spans="1:25" x14ac:dyDescent="0.35">
      <c r="A57" t="s">
        <v>80</v>
      </c>
      <c r="B57">
        <v>99.15</v>
      </c>
      <c r="C57">
        <v>93.4</v>
      </c>
      <c r="D57">
        <v>89.07</v>
      </c>
      <c r="E57">
        <v>81.88</v>
      </c>
      <c r="F57">
        <v>74.81</v>
      </c>
      <c r="G57">
        <v>69.290000000000006</v>
      </c>
      <c r="H57">
        <v>63.46</v>
      </c>
      <c r="I57">
        <v>58.51</v>
      </c>
      <c r="J57">
        <v>53.55</v>
      </c>
      <c r="K57">
        <v>47.11</v>
      </c>
      <c r="L57">
        <v>41.04</v>
      </c>
      <c r="M57">
        <v>37.049999999999997</v>
      </c>
      <c r="N57">
        <v>31.88</v>
      </c>
      <c r="O57">
        <v>28.54</v>
      </c>
      <c r="P57">
        <v>25.96</v>
      </c>
      <c r="Q57">
        <v>21.3</v>
      </c>
      <c r="R57">
        <v>19.54</v>
      </c>
      <c r="S57">
        <v>18.04</v>
      </c>
      <c r="T57">
        <v>15.82</v>
      </c>
      <c r="U57">
        <v>15.6</v>
      </c>
      <c r="V57">
        <v>15.93</v>
      </c>
      <c r="W57">
        <v>15.66</v>
      </c>
      <c r="X57">
        <v>14.31</v>
      </c>
      <c r="Y57">
        <v>13.12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AE81C-AF30-45D4-9FFE-CDCED9263BAA}">
  <dimension ref="A1:Y43"/>
  <sheetViews>
    <sheetView tabSelected="1" zoomScale="70" zoomScaleNormal="70" workbookViewId="0">
      <selection activeCell="A40" sqref="A40"/>
    </sheetView>
  </sheetViews>
  <sheetFormatPr defaultRowHeight="14.5" x14ac:dyDescent="0.35"/>
  <cols>
    <col min="1" max="1" width="92.08984375" bestFit="1" customWidth="1"/>
  </cols>
  <sheetData>
    <row r="1" spans="1:25" x14ac:dyDescent="0.35">
      <c r="A1" t="s">
        <v>81</v>
      </c>
    </row>
    <row r="2" spans="1:25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spans="1:25" x14ac:dyDescent="0.35">
      <c r="A3" t="s">
        <v>26</v>
      </c>
    </row>
    <row r="4" spans="1:25" x14ac:dyDescent="0.35">
      <c r="A4" t="s">
        <v>82</v>
      </c>
      <c r="B4">
        <v>12</v>
      </c>
      <c r="C4">
        <v>12</v>
      </c>
      <c r="D4">
        <v>12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12</v>
      </c>
      <c r="L4">
        <v>12</v>
      </c>
      <c r="M4">
        <v>12</v>
      </c>
      <c r="N4">
        <v>12</v>
      </c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  <c r="W4">
        <v>12</v>
      </c>
      <c r="X4">
        <v>12</v>
      </c>
      <c r="Y4">
        <v>12</v>
      </c>
    </row>
    <row r="5" spans="1:25" x14ac:dyDescent="0.35">
      <c r="A5" s="2" t="s">
        <v>83</v>
      </c>
    </row>
    <row r="6" spans="1:25" x14ac:dyDescent="0.35">
      <c r="A6" t="s">
        <v>84</v>
      </c>
      <c r="B6">
        <v>41431.49</v>
      </c>
      <c r="C6">
        <v>42391.16</v>
      </c>
      <c r="D6">
        <v>42635.9</v>
      </c>
      <c r="E6">
        <v>39933.39</v>
      </c>
      <c r="F6">
        <v>37665.65</v>
      </c>
      <c r="G6">
        <v>36185.54</v>
      </c>
      <c r="H6">
        <v>34119.120000000003</v>
      </c>
      <c r="I6">
        <v>29764.59</v>
      </c>
      <c r="J6">
        <v>25710.07</v>
      </c>
      <c r="K6">
        <v>20665.810000000001</v>
      </c>
      <c r="L6">
        <v>17177.23</v>
      </c>
      <c r="M6">
        <v>15230.28</v>
      </c>
      <c r="N6">
        <v>12757.85</v>
      </c>
      <c r="O6">
        <v>10164.27</v>
      </c>
      <c r="P6">
        <v>8388.7000000000007</v>
      </c>
      <c r="Q6">
        <v>7127.45</v>
      </c>
      <c r="R6">
        <v>5689.99</v>
      </c>
      <c r="S6">
        <v>4614.82</v>
      </c>
      <c r="T6">
        <v>3589.85</v>
      </c>
      <c r="U6">
        <v>3145.34</v>
      </c>
      <c r="V6">
        <v>2513.0700000000002</v>
      </c>
      <c r="W6">
        <v>2263.0300000000002</v>
      </c>
      <c r="X6">
        <v>2103</v>
      </c>
      <c r="Y6">
        <v>2251.89</v>
      </c>
    </row>
    <row r="7" spans="1:25" x14ac:dyDescent="0.35">
      <c r="A7" t="s">
        <v>85</v>
      </c>
    </row>
    <row r="8" spans="1:25" x14ac:dyDescent="0.35">
      <c r="A8" t="s">
        <v>86</v>
      </c>
      <c r="B8">
        <v>41431.49</v>
      </c>
      <c r="C8">
        <v>42391.16</v>
      </c>
      <c r="D8">
        <v>42635.9</v>
      </c>
      <c r="E8">
        <v>39933.39</v>
      </c>
      <c r="F8">
        <v>37665.65</v>
      </c>
      <c r="G8">
        <v>36185.54</v>
      </c>
      <c r="H8">
        <v>34119.120000000003</v>
      </c>
      <c r="I8">
        <v>29764.59</v>
      </c>
      <c r="J8">
        <v>25710.07</v>
      </c>
      <c r="K8">
        <v>20665.810000000001</v>
      </c>
      <c r="L8">
        <v>17177.23</v>
      </c>
      <c r="M8">
        <v>15230.28</v>
      </c>
      <c r="N8">
        <v>12757.85</v>
      </c>
      <c r="O8">
        <v>10164.27</v>
      </c>
      <c r="P8">
        <v>8388.7000000000007</v>
      </c>
      <c r="Q8">
        <v>7127.45</v>
      </c>
      <c r="R8">
        <v>5689.99</v>
      </c>
      <c r="S8">
        <v>4614.82</v>
      </c>
      <c r="T8">
        <v>3589.85</v>
      </c>
      <c r="U8">
        <v>3145.34</v>
      </c>
      <c r="V8">
        <v>2513.0700000000002</v>
      </c>
      <c r="W8">
        <v>2263.0300000000002</v>
      </c>
      <c r="X8">
        <v>2103</v>
      </c>
      <c r="Y8">
        <v>2251.89</v>
      </c>
    </row>
    <row r="9" spans="1:25" x14ac:dyDescent="0.35">
      <c r="A9" s="2" t="s">
        <v>87</v>
      </c>
    </row>
    <row r="10" spans="1:25" x14ac:dyDescent="0.35">
      <c r="A10" t="s">
        <v>88</v>
      </c>
    </row>
    <row r="11" spans="1:25" x14ac:dyDescent="0.35">
      <c r="A11" t="s">
        <v>89</v>
      </c>
      <c r="B11">
        <v>329.82</v>
      </c>
      <c r="C11">
        <v>317.61</v>
      </c>
      <c r="D11">
        <v>304.95</v>
      </c>
      <c r="E11">
        <v>297</v>
      </c>
      <c r="F11">
        <v>264.67</v>
      </c>
      <c r="G11">
        <v>287.08999999999997</v>
      </c>
      <c r="H11">
        <v>267.17</v>
      </c>
      <c r="I11">
        <v>248.82</v>
      </c>
      <c r="J11">
        <v>223.7</v>
      </c>
      <c r="K11">
        <v>161.94</v>
      </c>
      <c r="L11">
        <v>164.12</v>
      </c>
      <c r="M11">
        <v>327.91</v>
      </c>
      <c r="N11">
        <v>158.21</v>
      </c>
      <c r="O11">
        <v>81.27</v>
      </c>
      <c r="P11">
        <v>72.349999999999994</v>
      </c>
      <c r="Q11">
        <v>64.37</v>
      </c>
      <c r="R11">
        <v>53.43</v>
      </c>
      <c r="S11">
        <v>50.95</v>
      </c>
      <c r="T11">
        <v>47.37</v>
      </c>
      <c r="U11">
        <v>36.590000000000003</v>
      </c>
      <c r="V11">
        <v>35.979999999999997</v>
      </c>
      <c r="W11">
        <v>30.5</v>
      </c>
      <c r="X11">
        <v>154.16999999999999</v>
      </c>
      <c r="Y11">
        <v>202.31</v>
      </c>
    </row>
    <row r="12" spans="1:25" x14ac:dyDescent="0.35">
      <c r="A12" t="s">
        <v>90</v>
      </c>
      <c r="B12">
        <v>2593</v>
      </c>
      <c r="C12">
        <v>2376.88</v>
      </c>
      <c r="D12">
        <v>2400.35</v>
      </c>
      <c r="E12">
        <v>2234.7600000000002</v>
      </c>
      <c r="F12">
        <v>2110.7399999999998</v>
      </c>
      <c r="G12">
        <v>1959.47</v>
      </c>
      <c r="H12">
        <v>1783.57</v>
      </c>
      <c r="I12">
        <v>1599.09</v>
      </c>
      <c r="J12">
        <v>1373.52</v>
      </c>
      <c r="K12">
        <v>990.65</v>
      </c>
      <c r="L12">
        <v>1020.75</v>
      </c>
      <c r="M12">
        <v>939.47</v>
      </c>
      <c r="N12">
        <v>883.93</v>
      </c>
      <c r="O12">
        <v>840.87</v>
      </c>
      <c r="P12">
        <v>744.12</v>
      </c>
      <c r="Q12">
        <v>724.87</v>
      </c>
      <c r="R12">
        <v>643.29</v>
      </c>
      <c r="S12">
        <v>518.66</v>
      </c>
      <c r="T12">
        <v>338.17</v>
      </c>
      <c r="U12">
        <v>256.36</v>
      </c>
      <c r="V12">
        <v>319.70999999999998</v>
      </c>
      <c r="W12">
        <v>325.47000000000003</v>
      </c>
      <c r="X12">
        <v>277.7</v>
      </c>
      <c r="Y12">
        <v>240.74</v>
      </c>
    </row>
    <row r="13" spans="1:25" x14ac:dyDescent="0.35">
      <c r="A13" t="s">
        <v>91</v>
      </c>
      <c r="B13">
        <v>1391.18</v>
      </c>
      <c r="C13">
        <v>1172.53</v>
      </c>
      <c r="D13">
        <v>1001.73</v>
      </c>
      <c r="E13">
        <v>1163.69</v>
      </c>
      <c r="F13">
        <v>1029.6199999999999</v>
      </c>
      <c r="G13">
        <v>980.26</v>
      </c>
      <c r="H13">
        <v>1033.68</v>
      </c>
      <c r="I13">
        <v>843.62</v>
      </c>
      <c r="J13">
        <v>724.91</v>
      </c>
      <c r="K13">
        <v>564.14</v>
      </c>
      <c r="L13">
        <v>538.04999999999995</v>
      </c>
      <c r="M13">
        <v>432.98</v>
      </c>
      <c r="N13">
        <v>342.78</v>
      </c>
      <c r="O13">
        <v>308.06</v>
      </c>
      <c r="P13">
        <v>245.1</v>
      </c>
      <c r="Q13">
        <v>212.94</v>
      </c>
      <c r="R13">
        <v>174.6</v>
      </c>
      <c r="S13">
        <v>145.44999999999999</v>
      </c>
      <c r="T13">
        <v>144.6</v>
      </c>
      <c r="U13">
        <v>76.19</v>
      </c>
      <c r="V13">
        <v>86.66</v>
      </c>
      <c r="W13">
        <v>67.11</v>
      </c>
      <c r="X13">
        <v>54.75</v>
      </c>
      <c r="Y13">
        <v>41.92</v>
      </c>
    </row>
    <row r="14" spans="1:25" x14ac:dyDescent="0.35">
      <c r="A14" t="s">
        <v>92</v>
      </c>
      <c r="B14">
        <v>936.79</v>
      </c>
      <c r="C14">
        <v>930.61</v>
      </c>
      <c r="D14">
        <v>846.29</v>
      </c>
      <c r="E14">
        <v>828.5</v>
      </c>
      <c r="F14">
        <v>743.48</v>
      </c>
      <c r="G14">
        <v>791.23</v>
      </c>
      <c r="H14">
        <v>715.73</v>
      </c>
      <c r="I14">
        <v>714.39</v>
      </c>
      <c r="J14">
        <v>498.98</v>
      </c>
      <c r="K14">
        <v>435.96</v>
      </c>
      <c r="L14">
        <v>371.57</v>
      </c>
      <c r="M14">
        <v>320.26</v>
      </c>
      <c r="N14">
        <v>288.01</v>
      </c>
      <c r="O14">
        <v>264.8</v>
      </c>
      <c r="P14">
        <v>229.16</v>
      </c>
      <c r="Q14">
        <v>200.84</v>
      </c>
      <c r="R14">
        <v>155.09</v>
      </c>
      <c r="S14">
        <v>124.9</v>
      </c>
      <c r="T14">
        <v>106.84</v>
      </c>
      <c r="U14">
        <v>89.08</v>
      </c>
      <c r="V14">
        <v>106.24</v>
      </c>
      <c r="W14">
        <v>113.4</v>
      </c>
      <c r="X14">
        <v>101.35</v>
      </c>
      <c r="Y14">
        <v>96.45</v>
      </c>
    </row>
    <row r="15" spans="1:25" x14ac:dyDescent="0.35">
      <c r="A15" t="s">
        <v>93</v>
      </c>
      <c r="B15">
        <v>53.07</v>
      </c>
      <c r="C15">
        <v>14.54</v>
      </c>
      <c r="D15">
        <v>17.920000000000002</v>
      </c>
      <c r="E15">
        <v>10.77</v>
      </c>
      <c r="F15">
        <v>7.65</v>
      </c>
      <c r="G15">
        <v>18.87</v>
      </c>
      <c r="H15">
        <v>14.96</v>
      </c>
      <c r="I15">
        <v>15.09</v>
      </c>
      <c r="J15">
        <v>14.64</v>
      </c>
      <c r="K15">
        <v>10.84</v>
      </c>
      <c r="L15">
        <v>126.27</v>
      </c>
      <c r="M15">
        <v>122.78</v>
      </c>
      <c r="N15">
        <v>84.78</v>
      </c>
      <c r="O15">
        <v>123.71</v>
      </c>
      <c r="P15">
        <v>114.96</v>
      </c>
      <c r="Q15">
        <v>8.6199999999999992</v>
      </c>
      <c r="R15">
        <v>6.55</v>
      </c>
      <c r="S15">
        <v>3.65</v>
      </c>
      <c r="T15">
        <v>2.82</v>
      </c>
      <c r="U15">
        <v>3.06</v>
      </c>
      <c r="V15">
        <v>2.9</v>
      </c>
      <c r="W15">
        <v>4.08</v>
      </c>
      <c r="X15">
        <v>3.19</v>
      </c>
      <c r="Y15">
        <v>2.2000000000000002</v>
      </c>
    </row>
    <row r="16" spans="1:25" x14ac:dyDescent="0.35">
      <c r="A16" t="s">
        <v>94</v>
      </c>
      <c r="B16">
        <v>853.35</v>
      </c>
      <c r="C16">
        <v>824.88</v>
      </c>
      <c r="D16">
        <v>1103.97</v>
      </c>
      <c r="E16">
        <v>472.6</v>
      </c>
      <c r="F16">
        <v>453.67</v>
      </c>
      <c r="G16">
        <v>747.66</v>
      </c>
      <c r="H16">
        <v>1025</v>
      </c>
      <c r="I16">
        <v>518.85</v>
      </c>
      <c r="J16">
        <v>307.74</v>
      </c>
      <c r="K16">
        <v>224.53</v>
      </c>
      <c r="L16">
        <v>205.17</v>
      </c>
      <c r="M16">
        <v>151.06</v>
      </c>
      <c r="N16">
        <v>63.73</v>
      </c>
      <c r="O16">
        <v>52.9</v>
      </c>
      <c r="P16">
        <v>43.5</v>
      </c>
      <c r="Q16">
        <v>142.69</v>
      </c>
      <c r="R16">
        <v>140.94999999999999</v>
      </c>
      <c r="S16">
        <v>208.19</v>
      </c>
      <c r="T16">
        <v>16.63</v>
      </c>
      <c r="U16">
        <v>232.26</v>
      </c>
      <c r="V16">
        <v>90.37</v>
      </c>
      <c r="W16">
        <v>87.3</v>
      </c>
      <c r="X16">
        <v>167.87</v>
      </c>
      <c r="Y16">
        <v>131.5</v>
      </c>
    </row>
    <row r="17" spans="1:25" x14ac:dyDescent="0.35">
      <c r="A17" t="s">
        <v>95</v>
      </c>
      <c r="I17">
        <v>121.18</v>
      </c>
      <c r="V17">
        <v>318.82</v>
      </c>
      <c r="W17">
        <v>282.85000000000002</v>
      </c>
      <c r="X17">
        <v>112.88</v>
      </c>
      <c r="Y17">
        <v>95.23</v>
      </c>
    </row>
    <row r="18" spans="1:25" x14ac:dyDescent="0.35">
      <c r="A18" t="s">
        <v>96</v>
      </c>
      <c r="B18">
        <v>6157.21</v>
      </c>
      <c r="C18">
        <v>5637.05</v>
      </c>
      <c r="D18">
        <v>5675.21</v>
      </c>
      <c r="E18">
        <v>5007.32</v>
      </c>
      <c r="F18">
        <v>4609.83</v>
      </c>
      <c r="G18">
        <v>4784.58</v>
      </c>
      <c r="H18">
        <v>4840.1099999999997</v>
      </c>
      <c r="I18">
        <v>3818.68</v>
      </c>
      <c r="J18">
        <v>3143.49</v>
      </c>
      <c r="K18">
        <v>2388.06</v>
      </c>
      <c r="L18">
        <v>2425.9299999999998</v>
      </c>
      <c r="M18">
        <v>2294.46</v>
      </c>
      <c r="N18">
        <v>1821.44</v>
      </c>
      <c r="O18">
        <v>1671.61</v>
      </c>
      <c r="P18">
        <v>1449.19</v>
      </c>
      <c r="Q18">
        <v>1354.33</v>
      </c>
      <c r="R18">
        <v>1173.9100000000001</v>
      </c>
      <c r="S18">
        <v>1051.8</v>
      </c>
      <c r="T18">
        <v>656.43</v>
      </c>
      <c r="U18">
        <v>693.54</v>
      </c>
      <c r="V18">
        <v>323.04000000000002</v>
      </c>
      <c r="W18">
        <v>345.01</v>
      </c>
      <c r="X18">
        <v>646.15</v>
      </c>
      <c r="Y18">
        <v>619.89</v>
      </c>
    </row>
    <row r="19" spans="1:25" x14ac:dyDescent="0.35">
      <c r="A19" t="s">
        <v>97</v>
      </c>
      <c r="B19">
        <v>35274.28</v>
      </c>
      <c r="C19">
        <v>36754.11</v>
      </c>
      <c r="D19">
        <v>36960.69</v>
      </c>
      <c r="E19">
        <v>34926.07</v>
      </c>
      <c r="F19">
        <v>33055.82</v>
      </c>
      <c r="G19">
        <v>31400.959999999999</v>
      </c>
      <c r="H19">
        <v>29279.01</v>
      </c>
      <c r="I19">
        <v>25945.91</v>
      </c>
      <c r="J19">
        <v>22566.58</v>
      </c>
      <c r="K19">
        <v>18277.75</v>
      </c>
      <c r="L19">
        <v>14751.3</v>
      </c>
      <c r="M19">
        <v>12935.82</v>
      </c>
      <c r="N19">
        <v>10936.41</v>
      </c>
      <c r="O19">
        <v>8492.66</v>
      </c>
      <c r="P19">
        <v>6939.51</v>
      </c>
      <c r="Q19">
        <v>5773.12</v>
      </c>
      <c r="R19">
        <v>4516.08</v>
      </c>
      <c r="S19">
        <v>3563.02</v>
      </c>
      <c r="T19">
        <v>2933.42</v>
      </c>
      <c r="U19">
        <v>2451.8000000000002</v>
      </c>
      <c r="V19">
        <v>2190.0300000000002</v>
      </c>
      <c r="W19">
        <v>1918.02</v>
      </c>
      <c r="X19">
        <v>1456.85</v>
      </c>
      <c r="Y19">
        <v>1632</v>
      </c>
    </row>
    <row r="20" spans="1:25" x14ac:dyDescent="0.35">
      <c r="A20" t="s">
        <v>98</v>
      </c>
      <c r="B20">
        <v>4896.08</v>
      </c>
      <c r="C20">
        <v>3424.92</v>
      </c>
      <c r="D20">
        <v>2591.98</v>
      </c>
      <c r="E20">
        <v>2403.42</v>
      </c>
      <c r="F20">
        <v>3084.68</v>
      </c>
      <c r="G20">
        <v>2133.19</v>
      </c>
      <c r="H20">
        <v>1614.06</v>
      </c>
      <c r="I20">
        <v>1005.62</v>
      </c>
      <c r="J20">
        <v>1016.04</v>
      </c>
      <c r="K20">
        <v>577.49</v>
      </c>
      <c r="L20">
        <v>602.80999999999995</v>
      </c>
      <c r="M20">
        <v>491.13</v>
      </c>
      <c r="N20">
        <v>1267.48</v>
      </c>
      <c r="O20">
        <v>1454.76</v>
      </c>
      <c r="P20">
        <v>710.76</v>
      </c>
      <c r="Q20">
        <v>376.13</v>
      </c>
      <c r="R20">
        <v>448.73</v>
      </c>
      <c r="S20">
        <v>466.71</v>
      </c>
      <c r="T20">
        <v>516.58000000000004</v>
      </c>
      <c r="U20">
        <v>408.97</v>
      </c>
      <c r="V20">
        <v>359.34</v>
      </c>
      <c r="W20">
        <v>555.27</v>
      </c>
      <c r="X20">
        <v>460.86</v>
      </c>
      <c r="Y20">
        <v>217.68</v>
      </c>
    </row>
    <row r="21" spans="1:25" x14ac:dyDescent="0.35">
      <c r="A21" t="s">
        <v>99</v>
      </c>
      <c r="B21">
        <v>40170.36</v>
      </c>
      <c r="C21">
        <v>40179.03</v>
      </c>
      <c r="D21">
        <v>39552.67</v>
      </c>
      <c r="E21">
        <v>37329.49</v>
      </c>
      <c r="F21">
        <v>36140.5</v>
      </c>
      <c r="G21">
        <v>33534.15</v>
      </c>
      <c r="H21">
        <v>30893.07</v>
      </c>
      <c r="I21">
        <v>26951.53</v>
      </c>
      <c r="J21">
        <v>23582.62</v>
      </c>
      <c r="K21">
        <v>18855.240000000002</v>
      </c>
      <c r="L21">
        <v>15354.11</v>
      </c>
      <c r="M21">
        <v>13426.95</v>
      </c>
      <c r="N21">
        <v>12203.89</v>
      </c>
      <c r="O21">
        <v>9947.42</v>
      </c>
      <c r="P21">
        <v>7650.27</v>
      </c>
      <c r="Q21">
        <v>6149.25</v>
      </c>
      <c r="R21">
        <v>4964.8100000000004</v>
      </c>
      <c r="S21">
        <v>4029.73</v>
      </c>
      <c r="T21">
        <v>3450</v>
      </c>
      <c r="U21">
        <v>2860.77</v>
      </c>
      <c r="V21">
        <v>2549.37</v>
      </c>
      <c r="W21">
        <v>2473.29</v>
      </c>
      <c r="X21">
        <v>1917.71</v>
      </c>
      <c r="Y21">
        <v>1849.68</v>
      </c>
    </row>
    <row r="22" spans="1:25" x14ac:dyDescent="0.35">
      <c r="A22" t="s">
        <v>100</v>
      </c>
      <c r="B22">
        <v>9479.32</v>
      </c>
      <c r="C22">
        <v>9046.8700000000008</v>
      </c>
      <c r="D22">
        <v>9707.2000000000007</v>
      </c>
      <c r="E22">
        <v>8210.94</v>
      </c>
      <c r="F22">
        <v>8724.11</v>
      </c>
      <c r="G22">
        <v>9813.6200000000008</v>
      </c>
      <c r="H22">
        <v>9203.42</v>
      </c>
      <c r="I22">
        <v>7590.66</v>
      </c>
      <c r="J22">
        <v>6350.06</v>
      </c>
      <c r="K22">
        <v>5134.93</v>
      </c>
      <c r="L22">
        <v>3979.32</v>
      </c>
      <c r="M22">
        <v>3167.52</v>
      </c>
      <c r="N22">
        <v>3207.11</v>
      </c>
      <c r="O22">
        <v>2777.28</v>
      </c>
      <c r="P22">
        <v>1626.15</v>
      </c>
      <c r="Q22">
        <v>1543.24</v>
      </c>
      <c r="R22">
        <v>1642.27</v>
      </c>
      <c r="S22">
        <v>1339.55</v>
      </c>
      <c r="T22">
        <v>1140.42</v>
      </c>
      <c r="U22">
        <v>947.45</v>
      </c>
      <c r="V22">
        <v>998.74</v>
      </c>
      <c r="W22">
        <v>1152.58</v>
      </c>
      <c r="X22">
        <v>700.41</v>
      </c>
      <c r="Y22">
        <v>658.04</v>
      </c>
    </row>
    <row r="23" spans="1:25" x14ac:dyDescent="0.35">
      <c r="A23" t="s">
        <v>101</v>
      </c>
      <c r="B23">
        <v>30691.040000000001</v>
      </c>
      <c r="C23">
        <v>31132.16</v>
      </c>
      <c r="D23">
        <v>29845.47</v>
      </c>
      <c r="E23">
        <v>29118.55</v>
      </c>
      <c r="F23">
        <v>27416.39</v>
      </c>
      <c r="G23">
        <v>23720.53</v>
      </c>
      <c r="H23">
        <v>21689.65</v>
      </c>
      <c r="I23">
        <v>19360.87</v>
      </c>
      <c r="J23">
        <v>17232.560000000001</v>
      </c>
      <c r="K23">
        <v>13720.31</v>
      </c>
      <c r="L23">
        <v>11374.79</v>
      </c>
      <c r="M23">
        <v>10259.43</v>
      </c>
      <c r="N23">
        <v>8996.7800000000007</v>
      </c>
      <c r="O23">
        <v>7170.14</v>
      </c>
      <c r="P23">
        <v>6024.12</v>
      </c>
      <c r="Q23">
        <v>4606.01</v>
      </c>
      <c r="R23">
        <v>3322.54</v>
      </c>
      <c r="S23">
        <v>2690.18</v>
      </c>
      <c r="T23">
        <v>2309.58</v>
      </c>
      <c r="U23">
        <v>1913.32</v>
      </c>
      <c r="V23">
        <v>1550.63</v>
      </c>
      <c r="W23">
        <v>1320.71</v>
      </c>
      <c r="X23">
        <v>1217.3</v>
      </c>
      <c r="Y23">
        <v>1191.6400000000001</v>
      </c>
    </row>
    <row r="24" spans="1:25" x14ac:dyDescent="0.35">
      <c r="A24" t="s">
        <v>102</v>
      </c>
      <c r="B24">
        <v>12352.23</v>
      </c>
      <c r="C24">
        <v>12558.19</v>
      </c>
      <c r="D24">
        <v>12858.52</v>
      </c>
      <c r="E24">
        <v>12550.58</v>
      </c>
      <c r="F24">
        <v>11711.68</v>
      </c>
      <c r="G24">
        <v>11073.18</v>
      </c>
      <c r="H24">
        <v>10200.67</v>
      </c>
      <c r="I24">
        <v>9091.25</v>
      </c>
      <c r="J24">
        <v>7662.8</v>
      </c>
      <c r="K24">
        <v>6179.8</v>
      </c>
      <c r="L24">
        <v>5085.41</v>
      </c>
      <c r="M24">
        <v>3995.68</v>
      </c>
      <c r="N24">
        <v>3351.92</v>
      </c>
      <c r="O24">
        <v>2572.54</v>
      </c>
      <c r="P24">
        <v>2199.39</v>
      </c>
      <c r="Q24">
        <v>1979.69</v>
      </c>
      <c r="R24">
        <v>1093.97</v>
      </c>
      <c r="S24">
        <v>959.65</v>
      </c>
      <c r="T24">
        <v>827.58</v>
      </c>
      <c r="U24">
        <v>744.33</v>
      </c>
      <c r="V24">
        <v>642.26</v>
      </c>
      <c r="W24">
        <v>606.41999999999996</v>
      </c>
      <c r="X24">
        <v>465.46</v>
      </c>
      <c r="Y24">
        <v>396.39</v>
      </c>
    </row>
    <row r="25" spans="1:25" x14ac:dyDescent="0.35">
      <c r="A25" t="s">
        <v>103</v>
      </c>
      <c r="B25">
        <v>18338.810000000001</v>
      </c>
      <c r="C25">
        <v>18573.97</v>
      </c>
      <c r="D25">
        <v>16986.95</v>
      </c>
      <c r="E25">
        <v>16567.97</v>
      </c>
      <c r="F25">
        <v>15704.71</v>
      </c>
      <c r="G25">
        <v>12647.35</v>
      </c>
      <c r="H25">
        <v>11488.98</v>
      </c>
      <c r="I25">
        <v>10269.620000000001</v>
      </c>
      <c r="J25">
        <v>9569.76</v>
      </c>
      <c r="K25">
        <v>7540.51</v>
      </c>
      <c r="L25">
        <v>6289.38</v>
      </c>
      <c r="M25">
        <v>6263.75</v>
      </c>
      <c r="N25">
        <v>5644.86</v>
      </c>
      <c r="O25">
        <v>4597.6000000000004</v>
      </c>
      <c r="P25">
        <v>3824.73</v>
      </c>
      <c r="Q25">
        <v>2626.32</v>
      </c>
      <c r="R25">
        <v>2228.5700000000002</v>
      </c>
      <c r="S25">
        <v>1730.53</v>
      </c>
      <c r="T25">
        <v>1482</v>
      </c>
      <c r="U25">
        <v>1168.99</v>
      </c>
      <c r="V25">
        <v>908.37</v>
      </c>
      <c r="W25">
        <v>714.29</v>
      </c>
      <c r="X25">
        <v>751.84</v>
      </c>
      <c r="Y25">
        <v>795.25</v>
      </c>
    </row>
    <row r="26" spans="1:25" x14ac:dyDescent="0.35">
      <c r="A26" t="s">
        <v>104</v>
      </c>
    </row>
    <row r="27" spans="1:25" x14ac:dyDescent="0.35">
      <c r="A27" t="s">
        <v>105</v>
      </c>
      <c r="B27">
        <v>280.62</v>
      </c>
      <c r="C27">
        <v>-564.51</v>
      </c>
      <c r="D27">
        <v>256.43</v>
      </c>
      <c r="E27">
        <v>3236.85</v>
      </c>
      <c r="F27">
        <v>-679.79</v>
      </c>
      <c r="G27">
        <v>1683.4</v>
      </c>
      <c r="H27">
        <v>-2526.87</v>
      </c>
      <c r="I27">
        <v>3284.19</v>
      </c>
    </row>
    <row r="28" spans="1:25" x14ac:dyDescent="0.35">
      <c r="A28" t="s">
        <v>106</v>
      </c>
      <c r="B28">
        <v>18619.43</v>
      </c>
      <c r="C28">
        <v>18009.46</v>
      </c>
      <c r="D28">
        <v>17243.38</v>
      </c>
      <c r="E28">
        <v>19804.82</v>
      </c>
      <c r="F28">
        <v>15024.92</v>
      </c>
      <c r="G28">
        <v>14330.75</v>
      </c>
      <c r="H28">
        <v>8962.11</v>
      </c>
      <c r="I28">
        <v>13553.81</v>
      </c>
      <c r="J28">
        <v>9569.76</v>
      </c>
      <c r="K28">
        <v>7540.51</v>
      </c>
      <c r="L28">
        <v>6289.38</v>
      </c>
      <c r="M28">
        <v>6263.75</v>
      </c>
      <c r="N28">
        <v>5644.86</v>
      </c>
      <c r="O28">
        <v>4597.6000000000004</v>
      </c>
      <c r="P28">
        <v>3824.73</v>
      </c>
      <c r="Q28">
        <v>2626.32</v>
      </c>
      <c r="R28">
        <v>2228.5700000000002</v>
      </c>
      <c r="S28">
        <v>1730.53</v>
      </c>
      <c r="T28">
        <v>1482</v>
      </c>
      <c r="U28">
        <v>1168.99</v>
      </c>
      <c r="V28">
        <v>908.37</v>
      </c>
      <c r="W28">
        <v>714.29</v>
      </c>
      <c r="X28">
        <v>751.84</v>
      </c>
      <c r="Y28">
        <v>795.25</v>
      </c>
    </row>
    <row r="29" spans="1:25" x14ac:dyDescent="0.35">
      <c r="A29" t="s">
        <v>107</v>
      </c>
      <c r="B29">
        <v>3265.86</v>
      </c>
      <c r="C29">
        <v>2631.98</v>
      </c>
      <c r="D29">
        <v>2118.84</v>
      </c>
      <c r="E29">
        <v>2711.06</v>
      </c>
      <c r="F29">
        <v>3089.14</v>
      </c>
      <c r="G29">
        <v>3519.57</v>
      </c>
      <c r="H29">
        <v>-976.44</v>
      </c>
      <c r="I29">
        <v>5309.16</v>
      </c>
      <c r="J29">
        <v>2049.61</v>
      </c>
      <c r="K29">
        <v>1592.01</v>
      </c>
      <c r="L29">
        <v>1310.21</v>
      </c>
      <c r="M29">
        <v>1766.33</v>
      </c>
      <c r="N29">
        <v>1410.36</v>
      </c>
      <c r="O29">
        <v>1342.65</v>
      </c>
      <c r="P29">
        <v>1127.8399999999999</v>
      </c>
      <c r="Q29">
        <v>585.38</v>
      </c>
      <c r="R29">
        <v>537.96</v>
      </c>
      <c r="S29">
        <v>282.06</v>
      </c>
      <c r="T29">
        <v>252.63</v>
      </c>
      <c r="U29">
        <v>160.06</v>
      </c>
      <c r="V29">
        <v>122.85</v>
      </c>
      <c r="W29">
        <v>-33.909999999999997</v>
      </c>
      <c r="X29">
        <v>109.25</v>
      </c>
      <c r="Y29">
        <v>106.63</v>
      </c>
    </row>
    <row r="30" spans="1:25" x14ac:dyDescent="0.35">
      <c r="A30" t="s">
        <v>108</v>
      </c>
      <c r="B30">
        <v>15353.57</v>
      </c>
      <c r="C30">
        <v>15377.48</v>
      </c>
      <c r="D30">
        <v>15124.54</v>
      </c>
      <c r="E30">
        <v>17093.759999999998</v>
      </c>
      <c r="F30">
        <v>11935.78</v>
      </c>
      <c r="G30">
        <v>10811.18</v>
      </c>
      <c r="H30">
        <v>9938.5499999999993</v>
      </c>
      <c r="I30">
        <v>8244.65</v>
      </c>
      <c r="J30">
        <v>7520.15</v>
      </c>
      <c r="K30">
        <v>5948.5</v>
      </c>
      <c r="L30">
        <v>4979.17</v>
      </c>
      <c r="M30">
        <v>4497.42</v>
      </c>
      <c r="N30">
        <v>4234.5</v>
      </c>
      <c r="O30">
        <v>3254.95</v>
      </c>
      <c r="P30">
        <v>2696.89</v>
      </c>
      <c r="Q30">
        <v>2040.94</v>
      </c>
      <c r="R30">
        <v>1690.61</v>
      </c>
      <c r="S30">
        <v>1448.47</v>
      </c>
      <c r="T30">
        <v>1229.3699999999999</v>
      </c>
      <c r="U30">
        <v>1008.93</v>
      </c>
      <c r="V30">
        <v>785.52</v>
      </c>
      <c r="W30">
        <v>748.2</v>
      </c>
      <c r="X30">
        <v>642.59</v>
      </c>
      <c r="Y30">
        <v>688.62</v>
      </c>
    </row>
    <row r="31" spans="1:25" x14ac:dyDescent="0.35">
      <c r="A31" t="s">
        <v>109</v>
      </c>
    </row>
    <row r="32" spans="1:25" x14ac:dyDescent="0.35">
      <c r="A32" t="s">
        <v>110</v>
      </c>
      <c r="C32">
        <v>116.27</v>
      </c>
      <c r="D32">
        <v>227.74</v>
      </c>
    </row>
    <row r="33" spans="1:25" x14ac:dyDescent="0.35">
      <c r="A33" t="s">
        <v>111</v>
      </c>
      <c r="C33">
        <v>19.14</v>
      </c>
      <c r="D33">
        <v>16.739999999999998</v>
      </c>
    </row>
    <row r="34" spans="1:25" x14ac:dyDescent="0.35">
      <c r="A34" t="s">
        <v>112</v>
      </c>
      <c r="C34">
        <v>97.13</v>
      </c>
      <c r="D34">
        <v>211</v>
      </c>
    </row>
    <row r="35" spans="1:25" x14ac:dyDescent="0.35">
      <c r="A35" t="s">
        <v>113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t="s">
        <v>114</v>
      </c>
      <c r="I36">
        <v>20.95</v>
      </c>
      <c r="V36">
        <v>195.92</v>
      </c>
      <c r="W36">
        <v>391.6</v>
      </c>
      <c r="X36">
        <v>53.03</v>
      </c>
      <c r="Y36">
        <v>273.93</v>
      </c>
    </row>
    <row r="37" spans="1:25" x14ac:dyDescent="0.35">
      <c r="A37" t="s">
        <v>115</v>
      </c>
      <c r="B37">
        <v>2013.52</v>
      </c>
      <c r="C37">
        <v>3262.91</v>
      </c>
      <c r="D37">
        <v>4119.59</v>
      </c>
      <c r="E37">
        <v>3399.08</v>
      </c>
      <c r="F37">
        <v>3327.57</v>
      </c>
      <c r="G37">
        <v>1872.42</v>
      </c>
      <c r="H37">
        <v>2585.7399999999998</v>
      </c>
      <c r="I37">
        <v>2754.86</v>
      </c>
      <c r="J37">
        <v>197.56</v>
      </c>
      <c r="K37">
        <v>196.42</v>
      </c>
      <c r="L37">
        <v>15.62</v>
      </c>
      <c r="M37">
        <v>18.03</v>
      </c>
      <c r="N37">
        <v>26.15</v>
      </c>
      <c r="O37">
        <v>41.18</v>
      </c>
      <c r="P37">
        <v>24.33</v>
      </c>
      <c r="Q37">
        <v>46.92</v>
      </c>
      <c r="R37">
        <v>33.97</v>
      </c>
      <c r="S37">
        <v>16.239999999999998</v>
      </c>
      <c r="T37">
        <v>54.63</v>
      </c>
      <c r="U37">
        <v>31.9</v>
      </c>
      <c r="V37">
        <v>38.31</v>
      </c>
      <c r="W37">
        <v>69.55</v>
      </c>
      <c r="X37">
        <v>95.59</v>
      </c>
      <c r="Y37">
        <v>26.39</v>
      </c>
    </row>
    <row r="38" spans="1:25" x14ac:dyDescent="0.35">
      <c r="A38" t="s">
        <v>116</v>
      </c>
      <c r="B38">
        <v>17367.09</v>
      </c>
      <c r="C38">
        <v>18737.52</v>
      </c>
      <c r="D38">
        <v>19455.13</v>
      </c>
      <c r="E38">
        <v>20492.84</v>
      </c>
      <c r="F38">
        <v>15263.35</v>
      </c>
      <c r="G38">
        <v>12683.6</v>
      </c>
      <c r="H38">
        <v>12524.29</v>
      </c>
      <c r="I38">
        <v>11020.46</v>
      </c>
      <c r="J38">
        <v>7717.71</v>
      </c>
      <c r="K38">
        <v>6144.92</v>
      </c>
      <c r="L38">
        <v>4994.79</v>
      </c>
      <c r="M38">
        <v>4515.45</v>
      </c>
      <c r="N38">
        <v>4260.6499999999996</v>
      </c>
      <c r="O38">
        <v>3296.13</v>
      </c>
      <c r="P38">
        <v>2721.22</v>
      </c>
      <c r="Q38">
        <v>2087.86</v>
      </c>
      <c r="R38">
        <v>1724.58</v>
      </c>
      <c r="S38">
        <v>1464.71</v>
      </c>
      <c r="T38">
        <v>1284</v>
      </c>
      <c r="U38">
        <v>1040.83</v>
      </c>
      <c r="V38">
        <v>1019.75</v>
      </c>
      <c r="W38">
        <v>1209.3499999999999</v>
      </c>
      <c r="X38">
        <v>791.21</v>
      </c>
      <c r="Y38">
        <v>988.94</v>
      </c>
    </row>
    <row r="39" spans="1:25" x14ac:dyDescent="0.35">
      <c r="A39" t="s">
        <v>117</v>
      </c>
      <c r="B39">
        <v>90</v>
      </c>
      <c r="C39">
        <v>112.5</v>
      </c>
      <c r="D39">
        <v>147.5</v>
      </c>
      <c r="E39">
        <v>147.5</v>
      </c>
      <c r="F39">
        <v>120</v>
      </c>
      <c r="G39">
        <v>100</v>
      </c>
      <c r="H39">
        <v>83.3</v>
      </c>
      <c r="I39">
        <v>52.5</v>
      </c>
      <c r="J39">
        <v>43.5</v>
      </c>
      <c r="K39">
        <v>23.1</v>
      </c>
      <c r="L39">
        <v>20</v>
      </c>
      <c r="M39">
        <v>25.8</v>
      </c>
      <c r="N39">
        <v>27.5</v>
      </c>
      <c r="O39">
        <v>21.1</v>
      </c>
      <c r="P39">
        <v>17.5</v>
      </c>
      <c r="Q39">
        <v>15</v>
      </c>
      <c r="R39">
        <v>12</v>
      </c>
      <c r="S39">
        <v>12</v>
      </c>
      <c r="T39">
        <v>9.74</v>
      </c>
      <c r="U39">
        <v>8.44</v>
      </c>
      <c r="V39">
        <v>5.81</v>
      </c>
      <c r="W39">
        <v>4.12</v>
      </c>
      <c r="X39">
        <v>3.29</v>
      </c>
      <c r="Y39">
        <v>1.67</v>
      </c>
    </row>
    <row r="40" spans="1:25" x14ac:dyDescent="0.35">
      <c r="A40" t="s">
        <v>118</v>
      </c>
      <c r="B40">
        <v>16.510000000000002</v>
      </c>
      <c r="C40">
        <v>16.53</v>
      </c>
      <c r="D40">
        <v>21.68</v>
      </c>
      <c r="E40">
        <v>24.51</v>
      </c>
      <c r="F40">
        <v>22.81</v>
      </c>
      <c r="G40">
        <v>20.67</v>
      </c>
      <c r="H40">
        <v>19</v>
      </c>
      <c r="I40">
        <v>15.76</v>
      </c>
      <c r="J40">
        <v>14.37</v>
      </c>
      <c r="K40">
        <v>11.37</v>
      </c>
      <c r="L40">
        <v>9.52</v>
      </c>
      <c r="M40">
        <v>8.6</v>
      </c>
      <c r="N40">
        <v>9.15</v>
      </c>
      <c r="O40">
        <v>7.03</v>
      </c>
      <c r="P40">
        <v>5.83</v>
      </c>
      <c r="Q40">
        <v>4.8499999999999996</v>
      </c>
      <c r="R40">
        <v>4.0199999999999996</v>
      </c>
      <c r="S40">
        <v>3.44</v>
      </c>
      <c r="T40">
        <v>3.25</v>
      </c>
      <c r="U40">
        <v>281.45999999999998</v>
      </c>
      <c r="V40">
        <v>248.17</v>
      </c>
      <c r="W40">
        <v>246.5</v>
      </c>
      <c r="X40">
        <v>211.71</v>
      </c>
      <c r="Y40">
        <v>227.34</v>
      </c>
    </row>
    <row r="41" spans="1:25" x14ac:dyDescent="0.35">
      <c r="A41" t="s">
        <v>119</v>
      </c>
      <c r="B41">
        <v>16.510000000000002</v>
      </c>
      <c r="C41">
        <v>16.53</v>
      </c>
      <c r="D41">
        <v>16.260000000000002</v>
      </c>
      <c r="E41">
        <v>18.38</v>
      </c>
      <c r="F41">
        <v>12.83</v>
      </c>
      <c r="G41">
        <v>11.62</v>
      </c>
      <c r="H41">
        <v>10.69</v>
      </c>
      <c r="I41">
        <v>8.86</v>
      </c>
      <c r="J41">
        <v>8.09</v>
      </c>
      <c r="K41">
        <v>6.4</v>
      </c>
      <c r="L41">
        <v>5.35</v>
      </c>
      <c r="M41">
        <v>4.84</v>
      </c>
      <c r="N41">
        <v>5.14</v>
      </c>
      <c r="O41">
        <v>3.95</v>
      </c>
      <c r="P41">
        <v>3.28</v>
      </c>
      <c r="Q41">
        <v>2.73</v>
      </c>
      <c r="R41">
        <v>2.2599999999999998</v>
      </c>
      <c r="S41">
        <v>1.94</v>
      </c>
      <c r="T41">
        <v>1.83</v>
      </c>
      <c r="U41">
        <v>1.58</v>
      </c>
      <c r="V41">
        <v>1.4</v>
      </c>
      <c r="W41">
        <v>1.39</v>
      </c>
      <c r="X41">
        <v>1.19</v>
      </c>
      <c r="Y41">
        <v>1.28</v>
      </c>
    </row>
    <row r="42" spans="1:25" x14ac:dyDescent="0.35">
      <c r="A42" t="s">
        <v>120</v>
      </c>
      <c r="B42">
        <v>16.510000000000002</v>
      </c>
      <c r="C42">
        <v>16.64</v>
      </c>
      <c r="D42">
        <v>16.489999999999998</v>
      </c>
      <c r="E42">
        <v>24.51</v>
      </c>
      <c r="F42">
        <v>17.11</v>
      </c>
      <c r="G42">
        <v>20.67</v>
      </c>
      <c r="H42">
        <v>19</v>
      </c>
      <c r="I42">
        <v>15.76</v>
      </c>
      <c r="J42">
        <v>14.37</v>
      </c>
      <c r="K42">
        <v>11.37</v>
      </c>
      <c r="L42">
        <v>9.52</v>
      </c>
      <c r="M42">
        <v>9.36</v>
      </c>
      <c r="N42">
        <v>9.15</v>
      </c>
      <c r="O42">
        <v>7.03</v>
      </c>
      <c r="P42">
        <v>6.19</v>
      </c>
      <c r="Q42">
        <v>4.8499999999999996</v>
      </c>
      <c r="R42">
        <v>4.0199999999999996</v>
      </c>
      <c r="S42">
        <v>3.6</v>
      </c>
      <c r="T42">
        <v>3.28</v>
      </c>
      <c r="U42">
        <v>307</v>
      </c>
      <c r="V42">
        <v>248.17</v>
      </c>
      <c r="W42">
        <v>246.5</v>
      </c>
      <c r="X42">
        <v>211.71</v>
      </c>
      <c r="Y42">
        <v>227.34</v>
      </c>
    </row>
    <row r="43" spans="1:25" x14ac:dyDescent="0.35">
      <c r="A43" t="s">
        <v>121</v>
      </c>
      <c r="B43">
        <v>16.510000000000002</v>
      </c>
      <c r="C43">
        <v>16.64</v>
      </c>
      <c r="D43">
        <v>16.489999999999998</v>
      </c>
      <c r="E43">
        <v>24.51</v>
      </c>
      <c r="F43">
        <v>17.11</v>
      </c>
      <c r="G43">
        <v>20.67</v>
      </c>
      <c r="H43">
        <v>19</v>
      </c>
      <c r="I43">
        <v>15.76</v>
      </c>
      <c r="J43">
        <v>14.37</v>
      </c>
      <c r="K43">
        <v>11.37</v>
      </c>
      <c r="L43">
        <v>9.52</v>
      </c>
      <c r="M43">
        <v>9.36</v>
      </c>
      <c r="N43">
        <v>9.15</v>
      </c>
      <c r="O43">
        <v>7.03</v>
      </c>
      <c r="P43">
        <v>6.19</v>
      </c>
      <c r="Q43">
        <v>4.8499999999999996</v>
      </c>
      <c r="R43">
        <v>4.0199999999999996</v>
      </c>
      <c r="S43">
        <v>3.6</v>
      </c>
      <c r="T43">
        <v>3.28</v>
      </c>
      <c r="U43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Cover_Page</vt:lpstr>
      <vt:lpstr>Industry_Analysis</vt:lpstr>
      <vt:lpstr>Macro</vt:lpstr>
      <vt:lpstr>GDP_Regression</vt:lpstr>
      <vt:lpstr>Inflation_Regression</vt:lpstr>
      <vt:lpstr>DCF</vt:lpstr>
      <vt:lpstr>FCFF_Projections</vt:lpstr>
      <vt:lpstr>WACC</vt:lpstr>
      <vt:lpstr>NWC</vt:lpstr>
      <vt:lpstr>Fixed_Assets</vt:lpstr>
      <vt:lpstr>Peer_Group_FA(5 years)</vt:lpstr>
      <vt:lpstr>Relative_Valuation</vt:lpstr>
      <vt:lpstr>Technical_Analysis(with Charts)</vt:lpstr>
      <vt:lpstr>Statement_Analysis</vt:lpstr>
      <vt:lpstr>Technical_Analysis</vt:lpstr>
      <vt:lpstr>Balance_Sheet(5 years)</vt:lpstr>
      <vt:lpstr>Income_Statement(5 years)</vt:lpstr>
      <vt:lpstr>Balance_Sheet</vt:lpstr>
      <vt:lpstr>Income_Statement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Raizada</dc:creator>
  <cp:lastModifiedBy>Shrishti Raizada</cp:lastModifiedBy>
  <dcterms:created xsi:type="dcterms:W3CDTF">2025-08-28T06:57:03Z</dcterms:created>
  <dcterms:modified xsi:type="dcterms:W3CDTF">2025-09-23T06:27:56Z</dcterms:modified>
</cp:coreProperties>
</file>